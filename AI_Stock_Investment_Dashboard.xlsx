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API Chưng Khoan\"/>
    </mc:Choice>
  </mc:AlternateContent>
  <xr:revisionPtr revIDLastSave="0" documentId="13_ncr:1_{C7CBAEF9-F5DF-4A3C-AB45-D105792D171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ashboard Tong Quan" sheetId="1" r:id="rId1"/>
    <sheet name="Theo Doi Danh Muc" sheetId="2" r:id="rId2"/>
    <sheet name="Phan Tich Co Ban Builders" sheetId="3" r:id="rId3"/>
    <sheet name="Vi Mo &amp; Dia Chinh Tri" sheetId="4" r:id="rId4"/>
    <sheet name="Phan Bo Tai San" sheetId="5" r:id="rId5"/>
    <sheet name="Dong Tien &amp; AI Predictor" sheetId="6" r:id="rId6"/>
  </sheets>
  <calcPr calcId="191029"/>
</workbook>
</file>

<file path=xl/calcChain.xml><?xml version="1.0" encoding="utf-8"?>
<calcChain xmlns="http://schemas.openxmlformats.org/spreadsheetml/2006/main">
  <c r="B16" i="5" l="1"/>
  <c r="D15" i="5"/>
  <c r="C15" i="5"/>
  <c r="F15" i="5" s="1"/>
  <c r="G15" i="5" s="1"/>
  <c r="F14" i="5"/>
  <c r="G14" i="5" s="1"/>
  <c r="D14" i="5"/>
  <c r="C14" i="5"/>
  <c r="D13" i="5"/>
  <c r="C13" i="5"/>
  <c r="F13" i="5" s="1"/>
  <c r="G13" i="5" s="1"/>
  <c r="C12" i="5"/>
  <c r="C16" i="5" s="1"/>
  <c r="E8" i="5"/>
  <c r="E7" i="5"/>
  <c r="G10" i="2"/>
  <c r="J10" i="2" s="1"/>
  <c r="F10" i="2"/>
  <c r="I9" i="2"/>
  <c r="H9" i="2"/>
  <c r="G9" i="2"/>
  <c r="F9" i="2"/>
  <c r="G8" i="2"/>
  <c r="F8" i="2"/>
  <c r="G7" i="2"/>
  <c r="G11" i="2" s="1"/>
  <c r="F7" i="2"/>
  <c r="F11" i="2" s="1"/>
  <c r="J9" i="2" l="1"/>
  <c r="E12" i="5"/>
  <c r="J8" i="2"/>
  <c r="J7" i="2"/>
  <c r="J11" i="2" s="1"/>
  <c r="H10" i="2"/>
  <c r="I10" i="2" s="1"/>
  <c r="H7" i="2"/>
  <c r="H8" i="2"/>
  <c r="I8" i="2" s="1"/>
  <c r="H11" i="2" l="1"/>
  <c r="I11" i="2" s="1"/>
  <c r="I7" i="2"/>
  <c r="E16" i="5"/>
  <c r="F12" i="5"/>
  <c r="D12" i="5"/>
  <c r="D16" i="5" s="1"/>
  <c r="F16" i="5" l="1"/>
  <c r="G12" i="5"/>
</calcChain>
</file>

<file path=xl/sharedStrings.xml><?xml version="1.0" encoding="utf-8"?>
<sst xmlns="http://schemas.openxmlformats.org/spreadsheetml/2006/main" count="188" uniqueCount="178">
  <si>
    <t>BẢNG ĐIỀU KHIỂN ĐẦU TƯ CHỨNG KHOÁN CHUYÊN NGHIỆP - AI CORE</t>
  </si>
  <si>
    <t>Thông tin chỉ mang tính tham khảo, không phải khuyến nghị đầu tư bắt buộc.</t>
  </si>
  <si>
    <t>I. TỔNG QUAN THỊ TRƯỜNG CHỨNG KHOÁN VIỆT NAM</t>
  </si>
  <si>
    <t>Chỉ số</t>
  </si>
  <si>
    <t>Điểm số</t>
  </si>
  <si>
    <t>Thay đổi</t>
  </si>
  <si>
    <t>% Thay đổi</t>
  </si>
  <si>
    <t>Khối lượng</t>
  </si>
  <si>
    <t>Giá trị GD (Tỷ VND)</t>
  </si>
  <si>
    <t>Tăng / Giảm / Đứng</t>
  </si>
  <si>
    <t>VN-INDEX</t>
  </si>
  <si>
    <t>245 Tăng / 120 Giảm / 75 Đứng</t>
  </si>
  <si>
    <t>VN30</t>
  </si>
  <si>
    <t>20 Tăng / 8 Giảm / 2 Đứng</t>
  </si>
  <si>
    <t>HNX-INDEX</t>
  </si>
  <si>
    <t>82 Tăng / 104 Giảm / 62 Đứng</t>
  </si>
  <si>
    <t>UPCoM-INDEX</t>
  </si>
  <si>
    <t>115 Tăng / 92 Giảm / 88 Đứng</t>
  </si>
  <si>
    <t>VN30F1M (Phái sinh)</t>
  </si>
  <si>
    <t>OI: 62,450 Hợp đồng</t>
  </si>
  <si>
    <t>II. CHỈ SỐ ĐÁNH GIÁ THỊ TRƯỜNG TỔNG HỢP (AI SCORES)</t>
  </si>
  <si>
    <t>Chỉ số AI</t>
  </si>
  <si>
    <t>Điểm số (0-100)</t>
  </si>
  <si>
    <t>Mức độ rủi ro / Trạng thái</t>
  </si>
  <si>
    <t>Khuyến nghị hành động chính</t>
  </si>
  <si>
    <t>Market Score (Điểm thị trường)</t>
  </si>
  <si>
    <t>Tích cực (Dòng tiền khỏe)</t>
  </si>
  <si>
    <t>Duy trì tỷ trọng cổ phiếu cao, ưu tiên tích lũy ngắn hạn</t>
  </si>
  <si>
    <t>Risk Score (Điểm rủi ro)</t>
  </si>
  <si>
    <t>Thấp - Trung bình</t>
  </si>
  <si>
    <t>Chưa cần hạ tỷ trọng danh mục vội vàng</t>
  </si>
  <si>
    <t>Opportunity Score (Điểm cơ hội)</t>
  </si>
  <si>
    <t>Cao</t>
  </si>
  <si>
    <t>Tập trung giải ngân vào các nhóm ngành dẫn dắt dòng tiền</t>
  </si>
  <si>
    <t>III. TÍN HIỆU PHÁI SINH &amp; DỰ BÁO LONG/SHORT (DERIVATIVES AI)</t>
  </si>
  <si>
    <t>Hợp đồng phái sinh</t>
  </si>
  <si>
    <t>Giá hiện tại (Điểm)</t>
  </si>
  <si>
    <t>Độ lệch (Basis vs VN30)</t>
  </si>
  <si>
    <t>Khuyến nghị AI</t>
  </si>
  <si>
    <t>Xác suất thành công</t>
  </si>
  <si>
    <t>Vùng giá mục tiêu</t>
  </si>
  <si>
    <t>Ngưỡng cắt lỗ</t>
  </si>
  <si>
    <t>VN30F1M</t>
  </si>
  <si>
    <t>LONG</t>
  </si>
  <si>
    <t>1,971 - 1,976</t>
  </si>
  <si>
    <t>DANH MỤC ĐẦU TƯ CỦA BẠN - QUẢN LÝ TÀI SẢN CHI TIẾT</t>
  </si>
  <si>
    <t>BẢNG THEO DÕI HIỆU QUẢ ĐẦU TƯ CỔ PHIẾU</t>
  </si>
  <si>
    <t>Mã CP</t>
  </si>
  <si>
    <t>Tên Doanh nghiệp</t>
  </si>
  <si>
    <t>Giá Mua (VND)</t>
  </si>
  <si>
    <t>Số lượng</t>
  </si>
  <si>
    <t>Giá hiện tại (VND)</t>
  </si>
  <si>
    <t>Giá Vốn (VND)</t>
  </si>
  <si>
    <t>Giá trị Hiện tại (VND)</t>
  </si>
  <si>
    <t>Lãi / Lỗ (VND)</t>
  </si>
  <si>
    <t>Tỷ suất sinh lời</t>
  </si>
  <si>
    <t>Tỷ trọng (%)</t>
  </si>
  <si>
    <t>FPT</t>
  </si>
  <si>
    <t>CTCP FPT</t>
  </si>
  <si>
    <t>MBB</t>
  </si>
  <si>
    <t>CTCP Ngân hàng TMCP Quân đội</t>
  </si>
  <si>
    <t>MBS</t>
  </si>
  <si>
    <t>CTCP Chứng khoán MB</t>
  </si>
  <si>
    <t>PHC</t>
  </si>
  <si>
    <t>CTCP Xây dựng Phục Hưng Holdings</t>
  </si>
  <si>
    <t>TỔNG CỘNG</t>
  </si>
  <si>
    <t>SO SÁNH CÁC CHỈ TIÊU TÀI CHÍNH NGÀNH XÂY DỰNG &amp; BẤT ĐỘNG SẢN</t>
  </si>
  <si>
    <t>PHÂN TÍCH SO SÁNH PHC VỚI CÁC ĐỐI THỦ CẠNH TRANH (Năm 2025/2026)</t>
  </si>
  <si>
    <t>Mã chỉ tiêu / Tỉ số</t>
  </si>
  <si>
    <t>PHC (Phục Hưng)</t>
  </si>
  <si>
    <t>HBC (Hòa Bình)</t>
  </si>
  <si>
    <t>VCG (Vinaconex)</t>
  </si>
  <si>
    <t>Doanh thu Thuần (Tỷ VND)</t>
  </si>
  <si>
    <t>Lợi nhuận sau thuế (Tỷ VND)</t>
  </si>
  <si>
    <t>Biên Lợi nhuận Gộp (%)</t>
  </si>
  <si>
    <t>Tỷ lệ Nợ vay / Vốn chủ sở hữu (D/E)</t>
  </si>
  <si>
    <t>Tỷ lệ Phải thu / Doanh thu (Receivables/Rev)</t>
  </si>
  <si>
    <t>Giá trị Backlog Hợp đồng (Tỷ VND)</t>
  </si>
  <si>
    <t>ROE (%)</t>
  </si>
  <si>
    <t>ROA (%)</t>
  </si>
  <si>
    <t>Hệ số P/E</t>
  </si>
  <si>
    <t>Hệ số P/B</t>
  </si>
  <si>
    <t>Vốn hóa thị trường (Tỷ VND)</t>
  </si>
  <si>
    <t>THEO DÕI BIẾN ĐỘNG VĨ MÔ VÀ ĐỊA CHÍNH TRỊ TOÀN CẦU</t>
  </si>
  <si>
    <t>A. CHỈ SỐ VĨ MÔ VIỆT NAM</t>
  </si>
  <si>
    <t>B. SCORE ĐỊA CHÍNH TRỊ TOÀN CẦU</t>
  </si>
  <si>
    <t>Chỉ số vĩ mô</t>
  </si>
  <si>
    <t>Kỳ này</t>
  </si>
  <si>
    <t>Kỳ trước</t>
  </si>
  <si>
    <t>Nhận định AI</t>
  </si>
  <si>
    <t>Khu vực</t>
  </si>
  <si>
    <t>Rủi ro (0-100)</t>
  </si>
  <si>
    <t>Ảnh hưởng VNINDEX (0-100)</t>
  </si>
  <si>
    <t>Điểm nóng chính</t>
  </si>
  <si>
    <t>CPI (Lạm phát yoy)</t>
  </si>
  <si>
    <t>Tích cực (Kiểm soát tốt)</t>
  </si>
  <si>
    <t>Mỹ</t>
  </si>
  <si>
    <t>Lãi suất Fed &amp; Chính sách thuế quan</t>
  </si>
  <si>
    <t>GDP Tăng trưởng (yoy)</t>
  </si>
  <si>
    <t>Tích cực (Tăng trưởng cao)</t>
  </si>
  <si>
    <t>Trung Quốc</t>
  </si>
  <si>
    <t>Chiến tranh thương mại Mỹ - Trung</t>
  </si>
  <si>
    <t>Lãi suất tái cấp vốn</t>
  </si>
  <si>
    <t>Trung lập (Ổn định)</t>
  </si>
  <si>
    <t>Nga / Ukraine</t>
  </si>
  <si>
    <t>Giá năng lượng &amp; Đứt gãy chuỗi cung ứng</t>
  </si>
  <si>
    <t>Tỷ giá USD/VND</t>
  </si>
  <si>
    <t>Tiêu cực (Áp lực tỷ giá cao)</t>
  </si>
  <si>
    <t>EU</t>
  </si>
  <si>
    <t>Lạm phát và tăng trưởng kinh tế chậm</t>
  </si>
  <si>
    <t>FDI Thực hiện (Tỷ USD)</t>
  </si>
  <si>
    <t>Tích cực (Thu hút tốt)</t>
  </si>
  <si>
    <t>Nhật Bản</t>
  </si>
  <si>
    <t>Tỷ giá đồng Yên &amp; Lãi suất BOJ</t>
  </si>
  <si>
    <t>Giải ngân Đầu tư công (%)</t>
  </si>
  <si>
    <t>Tích cực (Đẩy nhanh tiến độ)</t>
  </si>
  <si>
    <t>Tín dụng tăng trưởng (%)</t>
  </si>
  <si>
    <t>Trung lập (Hấp thụ bình thường)</t>
  </si>
  <si>
    <t>MÔ HÌNH PHÂN BỔ VÀ TÁI CƠ CẤU TÀI SẢN CÁ NHÂN</t>
  </si>
  <si>
    <t>BẢNG ĐỀ XUẤT TÁI PHÂN BỔ VỐN THEO RỦI RO THỊ TRƯỜNG</t>
  </si>
  <si>
    <t>Tổng Tài Sản Hiện Có:</t>
  </si>
  <si>
    <t>AI Market Score:</t>
  </si>
  <si>
    <t>Mức độ rủi ro lựa chọn:</t>
  </si>
  <si>
    <t>Cân bằng</t>
  </si>
  <si>
    <t>AI Risk Score:</t>
  </si>
  <si>
    <t>Lớp tài sản</t>
  </si>
  <si>
    <t>Tỷ trọng đề xuất</t>
  </si>
  <si>
    <t>Số tiền đề xuất (VND)</t>
  </si>
  <si>
    <t>Tỷ trọng thực tế</t>
  </si>
  <si>
    <t>Số tiền thực tế (VND)</t>
  </si>
  <si>
    <t>Chênh lệch số tiền</t>
  </si>
  <si>
    <t>Hành động khuyến nghị</t>
  </si>
  <si>
    <t>Cổ phiếu (Stocks)</t>
  </si>
  <si>
    <t>Tiền gửi tiết kiệm (Cash)</t>
  </si>
  <si>
    <t>Vàng (Gold)</t>
  </si>
  <si>
    <t>Bất động sản (Real Estate)</t>
  </si>
  <si>
    <t>—</t>
  </si>
  <si>
    <t>DÒNG TIỀN THỊ TRƯỜNG VÀ DỰ BÁO XU HƯỚNG CỦA AI</t>
  </si>
  <si>
    <t>A. THEO DÕI DÒNG TIỀN THỊ TRƯỜNG HÀNG NGÀY (Tỷ VND)</t>
  </si>
  <si>
    <t>B. AI DỰ BÁO XU HƯỚNG VNINDEX NGÀY MAI</t>
  </si>
  <si>
    <t>Ngày GD</t>
  </si>
  <si>
    <t>Khối ngoại mua ròng</t>
  </si>
  <si>
    <t>Tự doanh mua ròng</t>
  </si>
  <si>
    <t>Cá nhân mua ròng</t>
  </si>
  <si>
    <t>Dòng tiền Lớn (Smart Money)</t>
  </si>
  <si>
    <t>Ngày dự báo</t>
  </si>
  <si>
    <t>Dự báo Xu hướng</t>
  </si>
  <si>
    <t>Xác suất (%)</t>
  </si>
  <si>
    <t>Biên độ điểm dự đoán</t>
  </si>
  <si>
    <t>Cảnh báo rủi ro chính</t>
  </si>
  <si>
    <t>17/06/2026</t>
  </si>
  <si>
    <t>Lực cầu chủ động từ dòng tiền lớn gia tăng tại các nhóm ngành dẫn dắt dòng tiền.</t>
  </si>
  <si>
    <t>2026-06-18</t>
  </si>
  <si>
    <t>Tăng nhẹ</t>
  </si>
  <si>
    <t>2,258 - 2,288 điểm</t>
  </si>
  <si>
    <t>Kỹ thuật: RSI đi vào vùng quá mua (&gt;70) cảnh báo áp lực chốt lời lớn quanh các vùng kháng cự cứng. 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</t>
  </si>
  <si>
    <t>16/06/2026</t>
  </si>
  <si>
    <t>Khối ngoại bán ròng mạnh gây áp lực tâm lý chốt lời lên toàn bộ thị trường.</t>
  </si>
  <si>
    <t>2026-06-19</t>
  </si>
  <si>
    <t>2,264 - 2,294 điểm</t>
  </si>
  <si>
    <t>Chính sách: Tỷ giá USD/VND chịu áp lực lớn buộc SBV duy trì nghiệp vụ hút tiền qua thị trường mở (OMO) để cân bằng lãi suất. Kỹ thuật: RSI đi vào vùng quá mua (&gt;70) cảnh báo áp lực chốt lời lớn quanh các vùng kháng cự cứng. Vĩ mô QT: Bối cảnh thị trường quốc tế (Dow Jones, Châu Á) giao dịch ổn định, giảm thiểu rủi ro biến động liên thông.</t>
  </si>
  <si>
    <t>15/06/2026</t>
  </si>
  <si>
    <t>Dòng tiền lớn tiếp tục mua ròng nhóm Công nghệ và Ngân hàng hỗ trợ thị trường nâng đỡ chỉ số.</t>
  </si>
  <si>
    <t>2026-06-22</t>
  </si>
  <si>
    <t>Đi ngang</t>
  </si>
  <si>
    <t>2,266 - 2,293 điểm</t>
  </si>
  <si>
    <t>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 Kỹ thuật: RSI đi vào vùng quá mua (&gt;70) cảnh báo áp lực chốt lời lớn quanh các vùng kháng cự cứng.</t>
  </si>
  <si>
    <t>12/06/2026</t>
  </si>
  <si>
    <t>Dòng tiền lớn tiếp tục xoay vòng qua nhóm Thép và Bất động sản</t>
  </si>
  <si>
    <t>2026-06-23</t>
  </si>
  <si>
    <t>Giảm nhẹ</t>
  </si>
  <si>
    <t>2,258 - 2,287 điểm</t>
  </si>
  <si>
    <t>Kỹ thuật: VN-Index thử thách kênh hỗ trợ trung hạn SMA50. 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</t>
  </si>
  <si>
    <t>11/06/2026</t>
  </si>
  <si>
    <t>Cá nhân hấp thụ tốt áp lực bán ròng từ khối ngoại</t>
  </si>
  <si>
    <t>2026-06-24</t>
  </si>
  <si>
    <t>Kỹ thuật: RSI đi vào vùng quá mua (&gt;70) cảnh báo áp lực chốt lời lớn quanh các vùng kháng cự cứng. Vĩ mô QT: Bối cảnh thị trường quốc tế (Dow Jones, Châu Á) giao dịch ổn định, giảm thiểu rủi ro biến động liên thông. Chính sách: Kỳ vọng SBV nới lỏng nhẹ thanh khoản hệ thống khi áp lực tỷ giá hạ nhiệt vào cuối chu kỳ.</t>
  </si>
  <si>
    <t>CTD (Coteccons)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</si>
</sst>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+#,##0;\-#,##0;0"/>
    <numFmt numFmtId="165" formatCode="\+0.00%;\-0.00%;0.00%"/>
    <numFmt numFmtId="166" formatCode="0.0%"/>
    <numFmt numFmtId="167" formatCode="0.0"/>
    <numFmt numFmtId="168" formatCode="\+#,##0.0;\-#,##0.0;0.0"/>
  </numFmts>
  <fonts count="12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9"/>
      <color rgb="FF555555"/>
      <name val="Segoe UI"/>
    </font>
    <font>
      <b/>
      <sz val="12"/>
      <color rgb="FF1B365D"/>
      <name val="Segoe UI"/>
    </font>
    <font>
      <b/>
      <sz val="10"/>
      <color rgb="FFFFFFFF"/>
      <name val="Segoe UI"/>
    </font>
    <font>
      <sz val="10"/>
      <color rgb="FF333333"/>
      <name val="Segoe UI"/>
    </font>
    <font>
      <b/>
      <sz val="10"/>
      <color rgb="FF000000"/>
      <name val="Segoe UI"/>
    </font>
    <font>
      <b/>
      <sz val="10"/>
      <color rgb="FF196F3D"/>
      <name val="Segoe UI"/>
    </font>
    <font>
      <b/>
      <sz val="10"/>
      <color rgb="FF943126"/>
      <name val="Segoe UI"/>
    </font>
    <font>
      <b/>
      <sz val="10"/>
      <name val="Segoe UI"/>
    </font>
    <font>
      <sz val="10"/>
      <name val="Segoe UI"/>
    </font>
    <font>
      <b/>
      <sz val="10"/>
      <color rgb="FF196F3D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3E50"/>
        <bgColor rgb="FF2C3E50"/>
      </patternFill>
    </fill>
    <fill>
      <patternFill patternType="solid">
        <fgColor rgb="FFE8F8F5"/>
        <bgColor rgb="FFE8F8F5"/>
      </patternFill>
    </fill>
    <fill>
      <patternFill patternType="solid">
        <fgColor rgb="FFFDEDEC"/>
        <bgColor rgb="FFFDEDEC"/>
      </patternFill>
    </fill>
    <fill>
      <patternFill patternType="solid">
        <fgColor rgb="FFEBF5FB"/>
        <bgColor rgb="FFEBF5FB"/>
      </patternFill>
    </fill>
    <fill>
      <patternFill patternType="solid">
        <fgColor rgb="FFFEF9E7"/>
        <bgColor rgb="FFFEF9E7"/>
      </patternFill>
    </fill>
    <fill>
      <patternFill patternType="solid">
        <fgColor rgb="FFFDEDEC"/>
        <bgColor rgb="FFFDEDEC"/>
      </patternFill>
    </fill>
    <fill>
      <patternFill patternType="solid">
        <fgColor rgb="FFE8F8F5"/>
        <bgColor rgb="FFE8F8F5"/>
      </patternFill>
    </fill>
    <fill>
      <patternFill patternType="solid">
        <fgColor rgb="FFFEF9E7"/>
        <bgColor rgb="FFFEF9E7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1B365D"/>
      </top>
      <bottom style="double">
        <color rgb="FF1B365D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4" fontId="5" fillId="0" borderId="1" xfId="0" applyNumberFormat="1" applyFont="1" applyBorder="1" applyAlignment="1">
      <alignment horizontal="right" vertical="center"/>
    </xf>
    <xf numFmtId="4" fontId="7" fillId="4" borderId="1" xfId="0" applyNumberFormat="1" applyFont="1" applyFill="1" applyBorder="1" applyAlignment="1">
      <alignment horizontal="right" vertical="center"/>
    </xf>
    <xf numFmtId="10" fontId="5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4" fontId="8" fillId="5" borderId="1" xfId="0" applyNumberFormat="1" applyFont="1" applyFill="1" applyBorder="1" applyAlignment="1">
      <alignment horizontal="right" vertical="center"/>
    </xf>
    <xf numFmtId="1" fontId="6" fillId="6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right" vertical="center"/>
    </xf>
    <xf numFmtId="165" fontId="6" fillId="4" borderId="1" xfId="0" applyNumberFormat="1" applyFont="1" applyFill="1" applyBorder="1" applyAlignment="1">
      <alignment horizontal="right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/>
    <xf numFmtId="3" fontId="6" fillId="0" borderId="2" xfId="0" applyNumberFormat="1" applyFont="1" applyBorder="1" applyAlignment="1">
      <alignment horizontal="right" vertical="center"/>
    </xf>
    <xf numFmtId="165" fontId="6" fillId="0" borderId="2" xfId="0" applyNumberFormat="1" applyFont="1" applyBorder="1" applyAlignment="1">
      <alignment horizontal="right" vertical="center"/>
    </xf>
    <xf numFmtId="10" fontId="6" fillId="0" borderId="2" xfId="0" applyNumberFormat="1" applyFont="1" applyBorder="1" applyAlignment="1">
      <alignment horizontal="right" vertical="center"/>
    </xf>
    <xf numFmtId="3" fontId="8" fillId="5" borderId="1" xfId="0" applyNumberFormat="1" applyFont="1" applyFill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0" fontId="6" fillId="7" borderId="1" xfId="0" applyFont="1" applyFill="1" applyBorder="1" applyAlignment="1">
      <alignment horizontal="left" vertical="center"/>
    </xf>
    <xf numFmtId="2" fontId="5" fillId="0" borderId="1" xfId="0" applyNumberFormat="1" applyFont="1" applyBorder="1" applyAlignment="1">
      <alignment horizontal="right" vertical="center"/>
    </xf>
    <xf numFmtId="166" fontId="8" fillId="5" borderId="1" xfId="0" applyNumberFormat="1" applyFont="1" applyFill="1" applyBorder="1" applyAlignment="1">
      <alignment horizontal="right" vertical="center"/>
    </xf>
    <xf numFmtId="2" fontId="8" fillId="5" borderId="1" xfId="0" applyNumberFormat="1" applyFont="1" applyFill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" fontId="5" fillId="0" borderId="1" xfId="0" applyNumberFormat="1" applyFont="1" applyBorder="1" applyAlignment="1">
      <alignment horizontal="right" vertical="center"/>
    </xf>
    <xf numFmtId="0" fontId="5" fillId="7" borderId="1" xfId="0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right" vertical="center"/>
    </xf>
    <xf numFmtId="3" fontId="6" fillId="6" borderId="0" xfId="0" applyNumberFormat="1" applyFont="1" applyFill="1"/>
    <xf numFmtId="0" fontId="6" fillId="6" borderId="0" xfId="0" applyFont="1" applyFill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right" vertical="center"/>
    </xf>
    <xf numFmtId="4" fontId="5" fillId="5" borderId="1" xfId="0" applyNumberFormat="1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8" fontId="10" fillId="8" borderId="1" xfId="0" applyNumberFormat="1" applyFont="1" applyFill="1" applyBorder="1" applyAlignment="1">
      <alignment horizontal="right" vertical="center"/>
    </xf>
    <xf numFmtId="168" fontId="10" fillId="9" borderId="1" xfId="0" applyNumberFormat="1" applyFont="1" applyFill="1" applyBorder="1" applyAlignment="1">
      <alignment horizontal="right" vertical="center"/>
    </xf>
    <xf numFmtId="0" fontId="10" fillId="0" borderId="1" xfId="0" applyFont="1" applyBorder="1" applyAlignment="1">
      <alignment horizontal="left" vertical="center"/>
    </xf>
    <xf numFmtId="0" fontId="9" fillId="8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4" fontId="11" fillId="9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 inden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workbookViewId="0">
      <selection sqref="A1:G2"/>
    </sheetView>
  </sheetViews>
  <sheetFormatPr defaultRowHeight="15"/>
  <cols>
    <col min="1" max="1" width="28" customWidth="1"/>
    <col min="2" max="4" width="18" customWidth="1"/>
    <col min="5" max="5" width="16" customWidth="1"/>
    <col min="6" max="6" width="22" customWidth="1"/>
    <col min="7" max="7" width="32" customWidth="1"/>
  </cols>
  <sheetData>
    <row r="1" spans="1:7" ht="20.100000000000001" customHeight="1">
      <c r="A1" s="50" t="s">
        <v>0</v>
      </c>
      <c r="B1" s="51"/>
      <c r="C1" s="51"/>
      <c r="D1" s="51"/>
      <c r="E1" s="51"/>
      <c r="F1" s="51"/>
      <c r="G1" s="51"/>
    </row>
    <row r="2" spans="1:7" ht="20.100000000000001" customHeight="1">
      <c r="A2" s="51"/>
      <c r="B2" s="51"/>
      <c r="C2" s="51"/>
      <c r="D2" s="51"/>
      <c r="E2" s="51"/>
      <c r="F2" s="51"/>
      <c r="G2" s="51"/>
    </row>
    <row r="3" spans="1:7" ht="15.95" customHeight="1">
      <c r="A3" s="1" t="s">
        <v>1</v>
      </c>
    </row>
    <row r="5" spans="1:7" ht="17.25" customHeight="1">
      <c r="A5" s="2" t="s">
        <v>2</v>
      </c>
    </row>
    <row r="6" spans="1:7" ht="24" customHeight="1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</row>
    <row r="7" spans="1:7" ht="20.100000000000001" customHeight="1">
      <c r="A7" s="4" t="s">
        <v>10</v>
      </c>
      <c r="B7" s="5">
        <v>1827.67</v>
      </c>
      <c r="C7" s="6">
        <v>-0.26</v>
      </c>
      <c r="D7" s="7">
        <v>-1E-4</v>
      </c>
      <c r="E7" s="8">
        <v>854000000</v>
      </c>
      <c r="F7" s="8">
        <v>21540</v>
      </c>
      <c r="G7" s="9" t="s">
        <v>11</v>
      </c>
    </row>
    <row r="8" spans="1:7" ht="20.100000000000001" customHeight="1">
      <c r="A8" s="4" t="s">
        <v>12</v>
      </c>
      <c r="B8" s="5">
        <v>1966.77</v>
      </c>
      <c r="C8" s="6">
        <v>-1.81</v>
      </c>
      <c r="D8" s="7">
        <v>-8.9999999999999998E-4</v>
      </c>
      <c r="E8" s="8">
        <v>210000000</v>
      </c>
      <c r="F8" s="8">
        <v>8920</v>
      </c>
      <c r="G8" s="9" t="s">
        <v>13</v>
      </c>
    </row>
    <row r="9" spans="1:7" ht="20.100000000000001" customHeight="1">
      <c r="A9" s="4" t="s">
        <v>14</v>
      </c>
      <c r="B9" s="5">
        <v>333.06</v>
      </c>
      <c r="C9" s="10">
        <v>-0.13</v>
      </c>
      <c r="D9" s="7">
        <v>-4.0000000000000002E-4</v>
      </c>
      <c r="E9" s="8">
        <v>68000000</v>
      </c>
      <c r="F9" s="8">
        <v>1420</v>
      </c>
      <c r="G9" s="9" t="s">
        <v>15</v>
      </c>
    </row>
    <row r="10" spans="1:7" ht="20.100000000000001" customHeight="1">
      <c r="A10" s="4" t="s">
        <v>16</v>
      </c>
      <c r="B10" s="5">
        <v>127.5</v>
      </c>
      <c r="C10" s="5">
        <v>1.1200000000000001</v>
      </c>
      <c r="D10" s="7">
        <v>8.6999999999999994E-3</v>
      </c>
      <c r="E10" s="8">
        <v>42000000</v>
      </c>
      <c r="F10" s="8">
        <v>680</v>
      </c>
      <c r="G10" s="9" t="s">
        <v>17</v>
      </c>
    </row>
    <row r="11" spans="1:7" ht="20.100000000000001" customHeight="1">
      <c r="A11" s="4" t="s">
        <v>18</v>
      </c>
      <c r="B11" s="5">
        <v>1961.04</v>
      </c>
      <c r="C11" s="49">
        <v>0.78</v>
      </c>
      <c r="D11" s="7">
        <v>4.0000000000000002E-4</v>
      </c>
      <c r="E11" s="8">
        <v>254000</v>
      </c>
      <c r="F11" s="8">
        <v>31750</v>
      </c>
      <c r="G11" s="9" t="s">
        <v>19</v>
      </c>
    </row>
    <row r="14" spans="1:7" ht="24" customHeight="1">
      <c r="A14" s="2" t="s">
        <v>20</v>
      </c>
    </row>
    <row r="15" spans="1:7" ht="20.100000000000001" customHeight="1">
      <c r="A15" s="3" t="s">
        <v>21</v>
      </c>
      <c r="B15" s="3" t="s">
        <v>22</v>
      </c>
      <c r="C15" s="3" t="s">
        <v>23</v>
      </c>
      <c r="D15" s="3" t="s">
        <v>24</v>
      </c>
    </row>
    <row r="16" spans="1:7" ht="20.100000000000001" customHeight="1">
      <c r="A16" s="4" t="s">
        <v>25</v>
      </c>
      <c r="B16" s="11">
        <v>65</v>
      </c>
      <c r="C16" s="12" t="s">
        <v>26</v>
      </c>
      <c r="D16" s="13" t="s">
        <v>27</v>
      </c>
    </row>
    <row r="17" spans="1:7" ht="20.100000000000001" customHeight="1">
      <c r="A17" s="4" t="s">
        <v>28</v>
      </c>
      <c r="B17" s="11">
        <v>75</v>
      </c>
      <c r="C17" s="9" t="s">
        <v>29</v>
      </c>
      <c r="D17" s="13" t="s">
        <v>30</v>
      </c>
    </row>
    <row r="18" spans="1:7">
      <c r="A18" s="4" t="s">
        <v>31</v>
      </c>
      <c r="B18" s="11">
        <v>34</v>
      </c>
      <c r="C18" s="12" t="s">
        <v>32</v>
      </c>
      <c r="D18" s="13" t="s">
        <v>33</v>
      </c>
    </row>
    <row r="20" spans="1:7" ht="17.25" customHeight="1">
      <c r="A20" s="2" t="s">
        <v>34</v>
      </c>
    </row>
    <row r="21" spans="1:7" ht="24" customHeight="1">
      <c r="A21" s="3" t="s">
        <v>35</v>
      </c>
      <c r="B21" s="3" t="s">
        <v>36</v>
      </c>
      <c r="C21" s="3" t="s">
        <v>37</v>
      </c>
      <c r="D21" s="3" t="s">
        <v>38</v>
      </c>
      <c r="E21" s="3" t="s">
        <v>39</v>
      </c>
      <c r="F21" s="3" t="s">
        <v>40</v>
      </c>
      <c r="G21" s="3" t="s">
        <v>41</v>
      </c>
    </row>
    <row r="22" spans="1:7" ht="20.100000000000001" customHeight="1">
      <c r="A22" s="4" t="s">
        <v>42</v>
      </c>
      <c r="B22" s="5">
        <v>1961.04</v>
      </c>
      <c r="C22" s="40">
        <v>-5.7300000000000182</v>
      </c>
      <c r="D22" s="41" t="s">
        <v>43</v>
      </c>
      <c r="E22" s="39">
        <v>0.8</v>
      </c>
      <c r="F22" s="9" t="s">
        <v>44</v>
      </c>
      <c r="G22" s="8">
        <v>1953</v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A18" sqref="A18"/>
    </sheetView>
  </sheetViews>
  <sheetFormatPr defaultRowHeight="15"/>
  <cols>
    <col min="1" max="1" width="15.85546875" customWidth="1"/>
    <col min="2" max="2" width="33.5703125" customWidth="1"/>
    <col min="3" max="3" width="16" customWidth="1"/>
    <col min="4" max="4" width="12" customWidth="1"/>
    <col min="5" max="5" width="17.5703125" bestFit="1" customWidth="1"/>
    <col min="6" max="6" width="19" customWidth="1"/>
    <col min="7" max="7" width="20.42578125" bestFit="1" customWidth="1"/>
    <col min="8" max="9" width="18" customWidth="1"/>
    <col min="10" max="10" width="15" customWidth="1"/>
  </cols>
  <sheetData>
    <row r="1" spans="1:10" ht="20.100000000000001" customHeight="1">
      <c r="A1" s="50" t="s">
        <v>45</v>
      </c>
      <c r="B1" s="51"/>
      <c r="C1" s="51"/>
      <c r="D1" s="51"/>
      <c r="E1" s="51"/>
      <c r="F1" s="51"/>
      <c r="G1" s="51"/>
    </row>
    <row r="2" spans="1:10" ht="20.100000000000001" customHeight="1">
      <c r="A2" s="51"/>
      <c r="B2" s="51"/>
      <c r="C2" s="51"/>
      <c r="D2" s="51"/>
      <c r="E2" s="51"/>
      <c r="F2" s="51"/>
      <c r="G2" s="51"/>
    </row>
    <row r="3" spans="1:10" ht="15.95" customHeight="1">
      <c r="A3" s="1" t="s">
        <v>1</v>
      </c>
    </row>
    <row r="5" spans="1:10" ht="17.25" customHeight="1">
      <c r="A5" s="2" t="s">
        <v>46</v>
      </c>
    </row>
    <row r="6" spans="1:10" ht="24" customHeight="1">
      <c r="A6" s="3" t="s">
        <v>47</v>
      </c>
      <c r="B6" s="3" t="s">
        <v>48</v>
      </c>
      <c r="C6" s="3" t="s">
        <v>49</v>
      </c>
      <c r="D6" s="3" t="s">
        <v>50</v>
      </c>
      <c r="E6" s="3" t="s">
        <v>51</v>
      </c>
      <c r="F6" s="3" t="s">
        <v>52</v>
      </c>
      <c r="G6" s="3" t="s">
        <v>53</v>
      </c>
      <c r="H6" s="3" t="s">
        <v>54</v>
      </c>
      <c r="I6" s="3" t="s">
        <v>55</v>
      </c>
      <c r="J6" s="3" t="s">
        <v>56</v>
      </c>
    </row>
    <row r="7" spans="1:10" ht="20.100000000000001" customHeight="1">
      <c r="A7" s="4" t="s">
        <v>57</v>
      </c>
      <c r="B7" s="13" t="s">
        <v>58</v>
      </c>
      <c r="C7" s="8">
        <v>80783</v>
      </c>
      <c r="D7" s="8">
        <v>4100</v>
      </c>
      <c r="E7" s="8">
        <v>71600</v>
      </c>
      <c r="F7" s="8">
        <f>C7*D7</f>
        <v>331210300</v>
      </c>
      <c r="G7" s="8">
        <f>E7*D7</f>
        <v>293560000</v>
      </c>
      <c r="H7" s="14">
        <f>G7-F7</f>
        <v>-37650300</v>
      </c>
      <c r="I7" s="15">
        <f>H7/F7</f>
        <v>-0.11367490684921333</v>
      </c>
      <c r="J7" s="7">
        <f>G7/$G$11</f>
        <v>0.37562506077868368</v>
      </c>
    </row>
    <row r="8" spans="1:10" ht="20.100000000000001" customHeight="1">
      <c r="A8" s="4" t="s">
        <v>59</v>
      </c>
      <c r="B8" s="13" t="s">
        <v>60</v>
      </c>
      <c r="C8" s="8">
        <v>26211</v>
      </c>
      <c r="D8" s="8">
        <v>3800</v>
      </c>
      <c r="E8" s="8">
        <v>25310</v>
      </c>
      <c r="F8" s="8">
        <f>C8*D8</f>
        <v>99601800</v>
      </c>
      <c r="G8" s="8">
        <f>E8*D8</f>
        <v>96178000</v>
      </c>
      <c r="H8" s="14">
        <f>G8-F8</f>
        <v>-3423800</v>
      </c>
      <c r="I8" s="15">
        <f>H8/F8</f>
        <v>-3.4374880775247037E-2</v>
      </c>
      <c r="J8" s="7">
        <f>G8/$G$11</f>
        <v>0.12306467875586674</v>
      </c>
    </row>
    <row r="9" spans="1:10" ht="20.100000000000001" customHeight="1">
      <c r="A9" s="4" t="s">
        <v>61</v>
      </c>
      <c r="B9" s="13" t="s">
        <v>62</v>
      </c>
      <c r="C9" s="8">
        <v>19600</v>
      </c>
      <c r="D9" s="8">
        <v>800</v>
      </c>
      <c r="E9" s="8">
        <v>20670</v>
      </c>
      <c r="F9" s="8">
        <f>C9*D9</f>
        <v>15680000</v>
      </c>
      <c r="G9" s="8">
        <f>E9*D9</f>
        <v>16536000</v>
      </c>
      <c r="H9" s="14">
        <f>G9-F9</f>
        <v>856000</v>
      </c>
      <c r="I9" s="15">
        <f>H9/F9</f>
        <v>5.459183673469388E-2</v>
      </c>
      <c r="J9" s="7">
        <f>G9/$G$11</f>
        <v>2.115865923503309E-2</v>
      </c>
    </row>
    <row r="10" spans="1:10" ht="20.100000000000001" customHeight="1">
      <c r="A10" s="4" t="s">
        <v>63</v>
      </c>
      <c r="B10" s="13" t="s">
        <v>64</v>
      </c>
      <c r="C10" s="8">
        <v>5675</v>
      </c>
      <c r="D10" s="8">
        <v>79000</v>
      </c>
      <c r="E10" s="8">
        <v>4750</v>
      </c>
      <c r="F10" s="8">
        <f>C10*D10</f>
        <v>448325000</v>
      </c>
      <c r="G10" s="8">
        <f>E10*D10</f>
        <v>375250000</v>
      </c>
      <c r="H10" s="14">
        <f>G10-F10</f>
        <v>-73075000</v>
      </c>
      <c r="I10" s="15">
        <f>H10/F10</f>
        <v>-0.16299559471365638</v>
      </c>
      <c r="J10" s="7">
        <f>G10/$G$11</f>
        <v>0.48015160123041645</v>
      </c>
    </row>
    <row r="11" spans="1:10" ht="24" customHeight="1">
      <c r="A11" s="16" t="s">
        <v>65</v>
      </c>
      <c r="B11" s="17"/>
      <c r="C11" s="17"/>
      <c r="D11" s="17"/>
      <c r="E11" s="17"/>
      <c r="F11" s="18">
        <f>SUM(F7:F10)</f>
        <v>894817100</v>
      </c>
      <c r="G11" s="18">
        <f>SUM(G7:G10)</f>
        <v>781524000</v>
      </c>
      <c r="H11" s="18">
        <f>SUM(H7:H10)</f>
        <v>-113293100</v>
      </c>
      <c r="I11" s="19">
        <f>H11/F11</f>
        <v>-0.12661034305222821</v>
      </c>
      <c r="J11" s="20">
        <f>SUM(J7:J10)</f>
        <v>1</v>
      </c>
    </row>
  </sheetData>
  <mergeCells count="1">
    <mergeCell ref="A1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"/>
  <sheetViews>
    <sheetView tabSelected="1" workbookViewId="0">
      <selection activeCell="J10" sqref="J10"/>
    </sheetView>
  </sheetViews>
  <sheetFormatPr defaultRowHeight="15"/>
  <cols>
    <col min="1" max="1" width="38" customWidth="1"/>
    <col min="2" max="5" width="18" customWidth="1"/>
    <col min="6" max="7" width="11" customWidth="1"/>
  </cols>
  <sheetData>
    <row r="1" spans="1:7" ht="20.100000000000001" customHeight="1">
      <c r="A1" s="50" t="s">
        <v>66</v>
      </c>
      <c r="B1" s="51"/>
      <c r="C1" s="51"/>
      <c r="D1" s="51"/>
      <c r="E1" s="51"/>
      <c r="F1" s="51"/>
      <c r="G1" s="51"/>
    </row>
    <row r="2" spans="1:7" ht="20.100000000000001" customHeight="1">
      <c r="A2" s="51"/>
      <c r="B2" s="51"/>
      <c r="C2" s="51"/>
      <c r="D2" s="51"/>
      <c r="E2" s="51"/>
      <c r="F2" s="51"/>
      <c r="G2" s="51"/>
    </row>
    <row r="3" spans="1:7" ht="15.95" customHeight="1">
      <c r="A3" s="1" t="s">
        <v>1</v>
      </c>
    </row>
    <row r="5" spans="1:7" ht="17.25" customHeight="1">
      <c r="A5" s="2" t="s">
        <v>67</v>
      </c>
    </row>
    <row r="6" spans="1:7" ht="24" customHeight="1">
      <c r="A6" s="3" t="s">
        <v>68</v>
      </c>
      <c r="B6" s="3" t="s">
        <v>69</v>
      </c>
      <c r="C6" s="3" t="s">
        <v>177</v>
      </c>
      <c r="D6" s="3" t="s">
        <v>70</v>
      </c>
      <c r="E6" s="3" t="s">
        <v>71</v>
      </c>
    </row>
    <row r="7" spans="1:7" ht="20.100000000000001" customHeight="1">
      <c r="A7" s="4" t="s">
        <v>72</v>
      </c>
      <c r="B7" s="8">
        <v>1850</v>
      </c>
      <c r="C7" s="8">
        <v>16200</v>
      </c>
      <c r="D7" s="8">
        <v>7500</v>
      </c>
      <c r="E7" s="8">
        <v>12800</v>
      </c>
    </row>
    <row r="8" spans="1:7" ht="20.100000000000001" customHeight="1">
      <c r="A8" s="4" t="s">
        <v>73</v>
      </c>
      <c r="B8" s="8">
        <v>24</v>
      </c>
      <c r="C8" s="8">
        <v>280</v>
      </c>
      <c r="D8" s="21">
        <v>-450</v>
      </c>
      <c r="E8" s="8">
        <v>320</v>
      </c>
    </row>
    <row r="9" spans="1:7" ht="20.100000000000001" customHeight="1">
      <c r="A9" s="4" t="s">
        <v>74</v>
      </c>
      <c r="B9" s="22">
        <v>5.1999999999999998E-2</v>
      </c>
      <c r="C9" s="22">
        <v>3.7999999999999999E-2</v>
      </c>
      <c r="D9" s="22">
        <v>1.2E-2</v>
      </c>
      <c r="E9" s="22">
        <v>6.5000000000000002E-2</v>
      </c>
    </row>
    <row r="10" spans="1:7" ht="20.100000000000001" customHeight="1">
      <c r="A10" s="23" t="s">
        <v>75</v>
      </c>
      <c r="B10" s="24">
        <v>1.85</v>
      </c>
      <c r="C10" s="24">
        <v>1.1499999999999999</v>
      </c>
      <c r="D10" s="24">
        <v>4.8</v>
      </c>
      <c r="E10" s="24">
        <v>2.1</v>
      </c>
    </row>
    <row r="11" spans="1:7" ht="20.100000000000001" customHeight="1">
      <c r="A11" s="23" t="s">
        <v>76</v>
      </c>
      <c r="B11" s="22">
        <v>0.65</v>
      </c>
      <c r="C11" s="22">
        <v>0.48</v>
      </c>
      <c r="D11" s="22">
        <v>0.85</v>
      </c>
      <c r="E11" s="22">
        <v>0.52</v>
      </c>
    </row>
    <row r="12" spans="1:7" ht="20.100000000000001" customHeight="1">
      <c r="A12" s="23" t="s">
        <v>77</v>
      </c>
      <c r="B12" s="8">
        <v>4800</v>
      </c>
      <c r="C12" s="8">
        <v>24000</v>
      </c>
      <c r="D12" s="8">
        <v>9500</v>
      </c>
      <c r="E12" s="8">
        <v>18500</v>
      </c>
    </row>
    <row r="13" spans="1:7" ht="20.100000000000001" customHeight="1">
      <c r="A13" s="4" t="s">
        <v>78</v>
      </c>
      <c r="B13" s="22">
        <v>6.2E-2</v>
      </c>
      <c r="C13" s="22">
        <v>7.4999999999999997E-2</v>
      </c>
      <c r="D13" s="25">
        <v>-0.42</v>
      </c>
      <c r="E13" s="22">
        <v>8.7999999999999995E-2</v>
      </c>
    </row>
    <row r="14" spans="1:7" ht="20.100000000000001" customHeight="1">
      <c r="A14" s="4" t="s">
        <v>79</v>
      </c>
      <c r="B14" s="22">
        <v>1.4999999999999999E-2</v>
      </c>
      <c r="C14" s="22">
        <v>2.1000000000000001E-2</v>
      </c>
      <c r="D14" s="25">
        <v>-8.5000000000000006E-2</v>
      </c>
      <c r="E14" s="22">
        <v>2.4E-2</v>
      </c>
    </row>
    <row r="15" spans="1:7" ht="20.100000000000001" customHeight="1">
      <c r="A15" s="4" t="s">
        <v>80</v>
      </c>
      <c r="B15" s="24">
        <v>14.8</v>
      </c>
      <c r="C15" s="24">
        <v>18.2</v>
      </c>
      <c r="D15" s="26">
        <v>-3.5</v>
      </c>
      <c r="E15" s="24">
        <v>11.2</v>
      </c>
    </row>
    <row r="16" spans="1:7" ht="20.100000000000001" customHeight="1">
      <c r="A16" s="4" t="s">
        <v>81</v>
      </c>
      <c r="B16" s="24">
        <v>0.82</v>
      </c>
      <c r="C16" s="24">
        <v>1.25</v>
      </c>
      <c r="D16" s="24">
        <v>0.95</v>
      </c>
      <c r="E16" s="24">
        <v>1.05</v>
      </c>
    </row>
    <row r="17" spans="1:5" ht="20.100000000000001" customHeight="1">
      <c r="A17" s="4" t="s">
        <v>82</v>
      </c>
      <c r="B17" s="8">
        <v>280</v>
      </c>
      <c r="C17" s="8">
        <v>4850</v>
      </c>
      <c r="D17" s="8">
        <v>1120</v>
      </c>
      <c r="E17" s="8">
        <v>9600</v>
      </c>
    </row>
  </sheetData>
  <mergeCells count="1">
    <mergeCell ref="A1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selection activeCell="H21" sqref="H21"/>
    </sheetView>
  </sheetViews>
  <sheetFormatPr defaultRowHeight="15"/>
  <cols>
    <col min="1" max="1" width="26" customWidth="1"/>
    <col min="2" max="3" width="12" customWidth="1"/>
    <col min="4" max="4" width="13" customWidth="1"/>
    <col min="5" max="5" width="30" customWidth="1"/>
    <col min="6" max="6" width="11" customWidth="1"/>
    <col min="7" max="7" width="34" customWidth="1"/>
    <col min="8" max="8" width="17" customWidth="1"/>
    <col min="9" max="9" width="28" customWidth="1"/>
    <col min="10" max="10" width="35" customWidth="1"/>
  </cols>
  <sheetData>
    <row r="1" spans="1:10" ht="20.100000000000001" customHeight="1">
      <c r="A1" s="50" t="s">
        <v>83</v>
      </c>
      <c r="B1" s="51"/>
      <c r="C1" s="51"/>
      <c r="D1" s="51"/>
      <c r="E1" s="51"/>
      <c r="F1" s="51"/>
      <c r="G1" s="51"/>
    </row>
    <row r="2" spans="1:10" ht="20.100000000000001" customHeight="1">
      <c r="A2" s="51"/>
      <c r="B2" s="51"/>
      <c r="C2" s="51"/>
      <c r="D2" s="51"/>
      <c r="E2" s="51"/>
      <c r="F2" s="51"/>
      <c r="G2" s="51"/>
    </row>
    <row r="3" spans="1:10" ht="15.95" customHeight="1">
      <c r="A3" s="1" t="s">
        <v>1</v>
      </c>
    </row>
    <row r="5" spans="1:10" ht="17.25" customHeight="1">
      <c r="A5" s="2" t="s">
        <v>84</v>
      </c>
      <c r="G5" s="2" t="s">
        <v>85</v>
      </c>
    </row>
    <row r="6" spans="1:10" ht="24" customHeight="1">
      <c r="A6" s="3" t="s">
        <v>86</v>
      </c>
      <c r="B6" s="3" t="s">
        <v>87</v>
      </c>
      <c r="C6" s="3" t="s">
        <v>88</v>
      </c>
      <c r="D6" s="3" t="s">
        <v>5</v>
      </c>
      <c r="E6" s="3" t="s">
        <v>89</v>
      </c>
      <c r="G6" s="3" t="s">
        <v>90</v>
      </c>
      <c r="H6" s="3" t="s">
        <v>91</v>
      </c>
      <c r="I6" s="3" t="s">
        <v>92</v>
      </c>
      <c r="J6" s="3" t="s">
        <v>93</v>
      </c>
    </row>
    <row r="7" spans="1:10" ht="20.100000000000001" customHeight="1">
      <c r="A7" s="4" t="s">
        <v>94</v>
      </c>
      <c r="B7" s="22">
        <v>3.7999999999999999E-2</v>
      </c>
      <c r="C7" s="22">
        <v>4.1000000000000002E-2</v>
      </c>
      <c r="D7" s="27">
        <v>-3.0000000000000001E-3</v>
      </c>
      <c r="E7" s="12" t="s">
        <v>95</v>
      </c>
      <c r="G7" s="4" t="s">
        <v>96</v>
      </c>
      <c r="H7" s="28">
        <v>46</v>
      </c>
      <c r="I7" s="28">
        <v>80</v>
      </c>
      <c r="J7" s="13" t="s">
        <v>97</v>
      </c>
    </row>
    <row r="8" spans="1:10" ht="20.100000000000001" customHeight="1">
      <c r="A8" s="4" t="s">
        <v>98</v>
      </c>
      <c r="B8" s="22">
        <v>6.4000000000000001E-2</v>
      </c>
      <c r="C8" s="22">
        <v>5.8000000000000003E-2</v>
      </c>
      <c r="D8" s="27">
        <v>6.0000000000000001E-3</v>
      </c>
      <c r="E8" s="12" t="s">
        <v>99</v>
      </c>
      <c r="G8" s="4" t="s">
        <v>100</v>
      </c>
      <c r="H8" s="28">
        <v>50</v>
      </c>
      <c r="I8" s="28">
        <v>75</v>
      </c>
      <c r="J8" s="13" t="s">
        <v>101</v>
      </c>
    </row>
    <row r="9" spans="1:10" ht="20.100000000000001" customHeight="1">
      <c r="A9" s="4" t="s">
        <v>102</v>
      </c>
      <c r="B9" s="22">
        <v>4.4999999999999998E-2</v>
      </c>
      <c r="C9" s="22">
        <v>4.4999999999999998E-2</v>
      </c>
      <c r="D9" s="27">
        <v>0</v>
      </c>
      <c r="E9" s="29" t="s">
        <v>103</v>
      </c>
      <c r="G9" s="4" t="s">
        <v>104</v>
      </c>
      <c r="H9" s="30">
        <v>85</v>
      </c>
      <c r="I9" s="28">
        <v>40</v>
      </c>
      <c r="J9" s="13" t="s">
        <v>105</v>
      </c>
    </row>
    <row r="10" spans="1:10" ht="20.100000000000001" customHeight="1">
      <c r="A10" s="4" t="s">
        <v>106</v>
      </c>
      <c r="B10" s="8">
        <v>25450</v>
      </c>
      <c r="C10" s="8">
        <v>25280</v>
      </c>
      <c r="D10" s="27">
        <v>6.7000000000000002E-3</v>
      </c>
      <c r="E10" s="31" t="s">
        <v>107</v>
      </c>
      <c r="G10" s="4" t="s">
        <v>108</v>
      </c>
      <c r="H10" s="28">
        <v>35</v>
      </c>
      <c r="I10" s="28">
        <v>50</v>
      </c>
      <c r="J10" s="13" t="s">
        <v>109</v>
      </c>
    </row>
    <row r="11" spans="1:10" ht="20.100000000000001" customHeight="1">
      <c r="A11" s="4" t="s">
        <v>110</v>
      </c>
      <c r="B11" s="32">
        <v>8.5</v>
      </c>
      <c r="C11" s="32">
        <v>7.8</v>
      </c>
      <c r="D11" s="27">
        <v>8.9700000000000002E-2</v>
      </c>
      <c r="E11" s="12" t="s">
        <v>111</v>
      </c>
      <c r="G11" s="4" t="s">
        <v>112</v>
      </c>
      <c r="H11" s="28">
        <v>25</v>
      </c>
      <c r="I11" s="28">
        <v>35</v>
      </c>
      <c r="J11" s="13" t="s">
        <v>113</v>
      </c>
    </row>
    <row r="12" spans="1:10" ht="20.100000000000001" customHeight="1">
      <c r="A12" s="4" t="s">
        <v>114</v>
      </c>
      <c r="B12" s="22">
        <v>0.38</v>
      </c>
      <c r="C12" s="22">
        <v>0.32</v>
      </c>
      <c r="D12" s="27">
        <v>0.06</v>
      </c>
      <c r="E12" s="12" t="s">
        <v>115</v>
      </c>
    </row>
    <row r="13" spans="1:10" ht="20.100000000000001" customHeight="1">
      <c r="A13" s="4" t="s">
        <v>116</v>
      </c>
      <c r="B13" s="22">
        <v>5.1999999999999998E-2</v>
      </c>
      <c r="C13" s="22">
        <v>4.4999999999999998E-2</v>
      </c>
      <c r="D13" s="27">
        <v>7.0000000000000001E-3</v>
      </c>
      <c r="E13" s="29" t="s">
        <v>117</v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2" sqref="E12"/>
    </sheetView>
  </sheetViews>
  <sheetFormatPr defaultRowHeight="15"/>
  <cols>
    <col min="1" max="1" width="28" customWidth="1"/>
    <col min="2" max="2" width="20" customWidth="1"/>
    <col min="3" max="3" width="24" customWidth="1"/>
    <col min="4" max="4" width="20" customWidth="1"/>
    <col min="5" max="5" width="22" customWidth="1"/>
    <col min="6" max="6" width="20" customWidth="1"/>
    <col min="7" max="7" width="28" customWidth="1"/>
  </cols>
  <sheetData>
    <row r="1" spans="1:7" ht="20.100000000000001" customHeight="1">
      <c r="A1" s="50" t="s">
        <v>118</v>
      </c>
      <c r="B1" s="51"/>
      <c r="C1" s="51"/>
      <c r="D1" s="51"/>
      <c r="E1" s="51"/>
      <c r="F1" s="51"/>
      <c r="G1" s="51"/>
    </row>
    <row r="2" spans="1:7" ht="20.100000000000001" customHeight="1">
      <c r="A2" s="51"/>
      <c r="B2" s="51"/>
      <c r="C2" s="51"/>
      <c r="D2" s="51"/>
      <c r="E2" s="51"/>
      <c r="F2" s="51"/>
      <c r="G2" s="51"/>
    </row>
    <row r="3" spans="1:7" ht="15.95" customHeight="1">
      <c r="A3" s="1" t="s">
        <v>1</v>
      </c>
    </row>
    <row r="5" spans="1:7" ht="17.25" customHeight="1">
      <c r="A5" s="2" t="s">
        <v>119</v>
      </c>
    </row>
    <row r="7" spans="1:7">
      <c r="A7" t="s">
        <v>120</v>
      </c>
      <c r="B7" s="33">
        <v>10000000000</v>
      </c>
      <c r="D7" t="s">
        <v>121</v>
      </c>
      <c r="E7" s="34" t="str">
        <f>'Dashboard Tong Quan'!B15</f>
        <v>Điểm số (0-100)</v>
      </c>
    </row>
    <row r="8" spans="1:7">
      <c r="A8" t="s">
        <v>122</v>
      </c>
      <c r="B8" s="34" t="s">
        <v>123</v>
      </c>
      <c r="D8" t="s">
        <v>124</v>
      </c>
      <c r="E8" s="34">
        <f>'Dashboard Tong Quan'!B16</f>
        <v>65</v>
      </c>
    </row>
    <row r="11" spans="1:7">
      <c r="A11" s="3" t="s">
        <v>125</v>
      </c>
      <c r="B11" s="3" t="s">
        <v>126</v>
      </c>
      <c r="C11" s="3" t="s">
        <v>127</v>
      </c>
      <c r="D11" s="3" t="s">
        <v>128</v>
      </c>
      <c r="E11" s="3" t="s">
        <v>129</v>
      </c>
      <c r="F11" s="3" t="s">
        <v>130</v>
      </c>
      <c r="G11" s="3" t="s">
        <v>131</v>
      </c>
    </row>
    <row r="12" spans="1:7" ht="20.100000000000001" customHeight="1">
      <c r="A12" s="4" t="s">
        <v>132</v>
      </c>
      <c r="B12" s="22">
        <v>0.45</v>
      </c>
      <c r="C12" s="8">
        <f>B12*$B$7</f>
        <v>4500000000</v>
      </c>
      <c r="D12" s="22">
        <f>E12/$B$7</f>
        <v>7.8152399999999997E-2</v>
      </c>
      <c r="E12" s="8">
        <f>'Theo Doi Danh Muc'!G11</f>
        <v>781524000</v>
      </c>
      <c r="F12" s="35">
        <f>E12-C12</f>
        <v>-3718476000</v>
      </c>
      <c r="G12" s="36" t="str">
        <f>IF(F12&gt;50000000, "Bán bớt hạ tỷ trọng", IF(F12&lt;-50000000, "Mua thêm tích lũy", "Đã tối ưu"))</f>
        <v>Mua thêm tích lũy</v>
      </c>
    </row>
    <row r="13" spans="1:7" ht="20.100000000000001" customHeight="1">
      <c r="A13" s="4" t="s">
        <v>133</v>
      </c>
      <c r="B13" s="22">
        <v>0.25</v>
      </c>
      <c r="C13" s="8">
        <f>B13*$B$7</f>
        <v>2500000000</v>
      </c>
      <c r="D13" s="22">
        <f>E13/$B$7</f>
        <v>0</v>
      </c>
      <c r="E13" s="8">
        <v>0</v>
      </c>
      <c r="F13" s="35">
        <f>E13-C13</f>
        <v>-2500000000</v>
      </c>
      <c r="G13" s="36" t="str">
        <f>IF(F13&gt;50000000, "Bán bớt hạ tỷ trọng", IF(F13&lt;-50000000, "Mua thêm tích lũy", "Đã tối ưu"))</f>
        <v>Mua thêm tích lũy</v>
      </c>
    </row>
    <row r="14" spans="1:7" ht="20.100000000000001" customHeight="1">
      <c r="A14" s="4" t="s">
        <v>134</v>
      </c>
      <c r="B14" s="22">
        <v>0.1</v>
      </c>
      <c r="C14" s="8">
        <f>B14*$B$7</f>
        <v>1000000000</v>
      </c>
      <c r="D14" s="22">
        <f>E14/$B$7</f>
        <v>0</v>
      </c>
      <c r="E14" s="8">
        <v>0</v>
      </c>
      <c r="F14" s="35">
        <f>E14-C14</f>
        <v>-1000000000</v>
      </c>
      <c r="G14" s="36" t="str">
        <f>IF(F14&gt;50000000, "Bán bớt hạ tỷ trọng", IF(F14&lt;-50000000, "Mua thêm tích lũy", "Đã tối ưu"))</f>
        <v>Mua thêm tích lũy</v>
      </c>
    </row>
    <row r="15" spans="1:7" ht="20.100000000000001" customHeight="1">
      <c r="A15" s="4" t="s">
        <v>135</v>
      </c>
      <c r="B15" s="22">
        <v>0.2</v>
      </c>
      <c r="C15" s="8">
        <f>B15*$B$7</f>
        <v>2000000000</v>
      </c>
      <c r="D15" s="22">
        <f>E15/$B$7</f>
        <v>0</v>
      </c>
      <c r="E15" s="8">
        <v>0</v>
      </c>
      <c r="F15" s="35">
        <f>E15-C15</f>
        <v>-2000000000</v>
      </c>
      <c r="G15" s="36" t="str">
        <f>IF(F15&gt;50000000, "Bán bớt hạ tỷ trọng", IF(F15&lt;-50000000, "Mua thêm tích lũy", "Đã tối ưu"))</f>
        <v>Mua thêm tích lũy</v>
      </c>
    </row>
    <row r="16" spans="1:7" ht="21.95" customHeight="1">
      <c r="A16" s="16" t="s">
        <v>65</v>
      </c>
      <c r="B16" s="37">
        <f>SUM(B12:B15)</f>
        <v>1</v>
      </c>
      <c r="C16" s="18">
        <f>SUM(C12:C15)</f>
        <v>10000000000</v>
      </c>
      <c r="D16" s="37">
        <f>SUM(D12:D15)</f>
        <v>7.8152399999999997E-2</v>
      </c>
      <c r="E16" s="18">
        <f>SUM(E12:E15)</f>
        <v>781524000</v>
      </c>
      <c r="F16" s="18">
        <f>SUM(F12:F15)</f>
        <v>-9218476000</v>
      </c>
      <c r="G16" s="38" t="s">
        <v>136</v>
      </c>
    </row>
  </sheetData>
  <mergeCells count="1">
    <mergeCell ref="A1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1"/>
  <sheetViews>
    <sheetView workbookViewId="0">
      <selection activeCell="A5" sqref="A5:K11"/>
    </sheetView>
  </sheetViews>
  <sheetFormatPr defaultRowHeight="15"/>
  <cols>
    <col min="1" max="1" width="14" customWidth="1"/>
    <col min="2" max="2" width="20" bestFit="1" customWidth="1"/>
    <col min="3" max="3" width="20" customWidth="1"/>
    <col min="4" max="4" width="19" customWidth="1"/>
    <col min="5" max="5" width="43.140625" bestFit="1" customWidth="1"/>
    <col min="6" max="6" width="11" customWidth="1"/>
    <col min="7" max="7" width="14.5703125" customWidth="1"/>
    <col min="8" max="8" width="18" customWidth="1"/>
    <col min="9" max="9" width="11.7109375" customWidth="1"/>
    <col min="10" max="10" width="22" customWidth="1"/>
    <col min="11" max="11" width="70.7109375" bestFit="1" customWidth="1"/>
  </cols>
  <sheetData>
    <row r="1" spans="1:11" ht="20.100000000000001" customHeight="1">
      <c r="A1" s="50" t="s">
        <v>137</v>
      </c>
      <c r="B1" s="51"/>
      <c r="C1" s="51"/>
      <c r="D1" s="51"/>
      <c r="E1" s="51"/>
      <c r="F1" s="51"/>
      <c r="G1" s="51"/>
    </row>
    <row r="2" spans="1:11" ht="20.100000000000001" customHeight="1">
      <c r="A2" s="51"/>
      <c r="B2" s="51"/>
      <c r="C2" s="51"/>
      <c r="D2" s="51"/>
      <c r="E2" s="51"/>
      <c r="F2" s="51"/>
      <c r="G2" s="51"/>
    </row>
    <row r="3" spans="1:11" ht="15.95" customHeight="1">
      <c r="A3" s="1" t="s">
        <v>1</v>
      </c>
    </row>
    <row r="5" spans="1:11" ht="17.25" customHeight="1">
      <c r="A5" s="2" t="s">
        <v>138</v>
      </c>
      <c r="G5" s="2" t="s">
        <v>139</v>
      </c>
    </row>
    <row r="6" spans="1:11">
      <c r="A6" s="3" t="s">
        <v>140</v>
      </c>
      <c r="B6" s="3" t="s">
        <v>141</v>
      </c>
      <c r="C6" s="3" t="s">
        <v>142</v>
      </c>
      <c r="D6" s="3" t="s">
        <v>143</v>
      </c>
      <c r="E6" s="3" t="s">
        <v>144</v>
      </c>
      <c r="G6" s="3" t="s">
        <v>145</v>
      </c>
      <c r="H6" s="3" t="s">
        <v>146</v>
      </c>
      <c r="I6" s="3" t="s">
        <v>147</v>
      </c>
      <c r="J6" s="3" t="s">
        <v>148</v>
      </c>
      <c r="K6" s="3" t="s">
        <v>149</v>
      </c>
    </row>
    <row r="7" spans="1:11" ht="20.100000000000001" customHeight="1">
      <c r="A7" s="42" t="s">
        <v>150</v>
      </c>
      <c r="B7" s="43">
        <v>-138.69999999999999</v>
      </c>
      <c r="C7" s="44">
        <v>41.4</v>
      </c>
      <c r="D7" s="44">
        <v>91</v>
      </c>
      <c r="E7" s="45" t="s">
        <v>151</v>
      </c>
      <c r="G7" s="9" t="s">
        <v>152</v>
      </c>
      <c r="H7" s="48" t="s">
        <v>153</v>
      </c>
      <c r="I7" s="39">
        <v>0.75</v>
      </c>
      <c r="J7" s="9" t="s">
        <v>154</v>
      </c>
      <c r="K7" s="13" t="s">
        <v>155</v>
      </c>
    </row>
    <row r="8" spans="1:11" ht="20.100000000000001" customHeight="1">
      <c r="A8" s="42" t="s">
        <v>156</v>
      </c>
      <c r="B8" s="43">
        <v>-314.8</v>
      </c>
      <c r="C8" s="43">
        <v>-56.6</v>
      </c>
      <c r="D8" s="44">
        <v>379.8</v>
      </c>
      <c r="E8" s="45" t="s">
        <v>157</v>
      </c>
      <c r="G8" s="9" t="s">
        <v>158</v>
      </c>
      <c r="H8" s="48" t="s">
        <v>153</v>
      </c>
      <c r="I8" s="39">
        <v>0.71</v>
      </c>
      <c r="J8" s="9" t="s">
        <v>159</v>
      </c>
      <c r="K8" s="13" t="s">
        <v>160</v>
      </c>
    </row>
    <row r="9" spans="1:11" ht="20.100000000000001" customHeight="1">
      <c r="A9" s="42" t="s">
        <v>161</v>
      </c>
      <c r="B9" s="43">
        <v>-245.8</v>
      </c>
      <c r="C9" s="43">
        <v>85.2</v>
      </c>
      <c r="D9" s="43">
        <v>160.6</v>
      </c>
      <c r="E9" s="45" t="s">
        <v>162</v>
      </c>
      <c r="G9" s="9" t="s">
        <v>163</v>
      </c>
      <c r="H9" s="47" t="s">
        <v>164</v>
      </c>
      <c r="I9" s="39">
        <v>0.67</v>
      </c>
      <c r="J9" s="9" t="s">
        <v>165</v>
      </c>
      <c r="K9" s="13" t="s">
        <v>166</v>
      </c>
    </row>
    <row r="10" spans="1:11" ht="20.100000000000001" customHeight="1">
      <c r="A10" s="42" t="s">
        <v>167</v>
      </c>
      <c r="B10" s="43">
        <v>-185.4</v>
      </c>
      <c r="C10" s="44">
        <v>72.099999999999994</v>
      </c>
      <c r="D10" s="43">
        <v>113.3</v>
      </c>
      <c r="E10" s="45" t="s">
        <v>168</v>
      </c>
      <c r="G10" s="9" t="s">
        <v>169</v>
      </c>
      <c r="H10" s="46" t="s">
        <v>170</v>
      </c>
      <c r="I10" s="39">
        <v>0.63</v>
      </c>
      <c r="J10" s="9" t="s">
        <v>171</v>
      </c>
      <c r="K10" s="13" t="s">
        <v>172</v>
      </c>
    </row>
    <row r="11" spans="1:11" ht="20.100000000000001" customHeight="1">
      <c r="A11" s="42" t="s">
        <v>173</v>
      </c>
      <c r="B11" s="43">
        <v>-210.5</v>
      </c>
      <c r="C11" s="44">
        <v>-15.2</v>
      </c>
      <c r="D11" s="44">
        <v>225.7</v>
      </c>
      <c r="E11" s="45" t="s">
        <v>174</v>
      </c>
      <c r="G11" s="9" t="s">
        <v>175</v>
      </c>
      <c r="H11" s="48" t="s">
        <v>153</v>
      </c>
      <c r="I11" s="39">
        <v>0.59</v>
      </c>
      <c r="J11" s="9" t="s">
        <v>159</v>
      </c>
      <c r="K11" s="13" t="s">
        <v>176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 Tong Quan</vt:lpstr>
      <vt:lpstr>Theo Doi Danh Muc</vt:lpstr>
      <vt:lpstr>Phan Tich Co Ban Builders</vt:lpstr>
      <vt:lpstr>Vi Mo &amp; Dia Chinh Tri</vt:lpstr>
      <vt:lpstr>Phan Bo Tai San</vt:lpstr>
      <vt:lpstr>Dong Tien &amp; AI Predictor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Tieu Ban Kiem toan</cp:lastModifiedBy>
  <dcterms:created xsi:type="dcterms:W3CDTF">2026-06-13T16:54:14Z</dcterms:created>
  <dcterms:modified xsi:type="dcterms:W3CDTF">2026-06-18T08:18:34Z</dcterms:modified>
</cp:coreProperties>
</file>