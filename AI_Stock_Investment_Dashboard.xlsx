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Dashboard Tong Quan" sheetId="1" state="visible" r:id="rId1"/>
    <sheet xmlns:r="http://schemas.openxmlformats.org/officeDocument/2006/relationships" name="Theo Doi Danh Muc" sheetId="2" state="visible" r:id="rId2"/>
    <sheet xmlns:r="http://schemas.openxmlformats.org/officeDocument/2006/relationships" name="Phan Tich Co Ban Builders" sheetId="3" state="visible" r:id="rId3"/>
    <sheet xmlns:r="http://schemas.openxmlformats.org/officeDocument/2006/relationships" name="Vi Mo &amp; Dia Chinh Tri" sheetId="4" state="visible" r:id="rId4"/>
    <sheet xmlns:r="http://schemas.openxmlformats.org/officeDocument/2006/relationships" name="Phan Bo Tai San" sheetId="5" state="visible" r:id="rId5"/>
    <sheet xmlns:r="http://schemas.openxmlformats.org/officeDocument/2006/relationships" name="Dong Tien &amp; AI Predictor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+#,##0;\-#,##0;0"/>
    <numFmt numFmtId="165" formatCode="\+0.00%;\-0.00%;0.00%"/>
    <numFmt numFmtId="166" formatCode="0.0%"/>
    <numFmt numFmtId="167" formatCode="0.0"/>
    <numFmt numFmtId="168" formatCode="\+#,##0.0;\-#,##0.0;0.0"/>
    <numFmt numFmtId="169" formatCode="+#,##0.0;-#,##0.0;0.0"/>
  </numFmts>
  <fonts count="13">
    <font>
      <name val="Calibri"/>
      <family val="2"/>
      <color theme="1"/>
      <sz val="11"/>
      <scheme val="minor"/>
    </font>
    <font>
      <name val="Segoe UI"/>
      <b val="1"/>
      <color rgb="FFFFFFFF"/>
      <sz val="16"/>
    </font>
    <font>
      <name val="Segoe UI"/>
      <i val="1"/>
      <color rgb="FF555555"/>
      <sz val="9"/>
    </font>
    <font>
      <name val="Segoe UI"/>
      <b val="1"/>
      <color rgb="FF1B365D"/>
      <sz val="12"/>
    </font>
    <font>
      <name val="Segoe UI"/>
      <b val="1"/>
      <color rgb="FFFFFFFF"/>
      <sz val="10"/>
    </font>
    <font>
      <name val="Segoe UI"/>
      <color rgb="FF333333"/>
      <sz val="10"/>
    </font>
    <font>
      <name val="Segoe UI"/>
      <b val="1"/>
      <color rgb="FF000000"/>
      <sz val="10"/>
    </font>
    <font>
      <name val="Segoe UI"/>
      <b val="1"/>
      <color rgb="FF196F3D"/>
      <sz val="10"/>
    </font>
    <font>
      <name val="Segoe UI"/>
      <b val="1"/>
      <color rgb="FF943126"/>
      <sz val="10"/>
    </font>
    <font>
      <name val="Segoe UI"/>
      <b val="1"/>
      <sz val="10"/>
    </font>
    <font>
      <name val="Segoe UI"/>
      <sz val="10"/>
    </font>
    <font>
      <name val="Segoe UI"/>
      <b val="1"/>
      <color rgb="FF196F3D"/>
      <sz val="10"/>
    </font>
    <font>
      <name val="Segoe UI"/>
      <b val="1"/>
      <color rgb="00196F3D"/>
      <sz val="10"/>
    </font>
  </fonts>
  <fills count="1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00FDEDEC"/>
        <bgColor rgb="00FDEDEC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4" fontId="7" fillId="4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 vertical="center"/>
    </xf>
    <xf numFmtId="1" fontId="6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pivotButton="0" quotePrefix="0" xfId="0"/>
    <xf numFmtId="3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2" fontId="8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" fontId="5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3" fontId="6" fillId="6" borderId="0" pivotButton="0" quotePrefix="0" xfId="0"/>
    <xf numFmtId="0" fontId="6" fillId="6" borderId="0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6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9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8" fontId="10" fillId="8" borderId="1" applyAlignment="1" pivotButton="0" quotePrefix="0" xfId="0">
      <alignment horizontal="right" vertical="center"/>
    </xf>
    <xf numFmtId="168" fontId="10" fillId="9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4" fontId="11" fillId="9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169" fontId="10" fillId="11" borderId="1" applyAlignment="1" pivotButton="0" quotePrefix="0" xfId="0">
      <alignment horizontal="right" vertical="center"/>
    </xf>
    <xf numFmtId="169" fontId="10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4" fontId="12" fillId="12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:G2"/>
    </sheetView>
  </sheetViews>
  <sheetFormatPr baseColWidth="8" defaultRowHeight="15"/>
  <cols>
    <col width="28" customWidth="1" style="51" min="1" max="1"/>
    <col width="18" customWidth="1" style="51" min="2" max="4"/>
    <col width="16" customWidth="1" style="51" min="5" max="5"/>
    <col width="22" customWidth="1" style="51" min="6" max="6"/>
    <col width="32" customWidth="1" style="51" min="7" max="7"/>
  </cols>
  <sheetData>
    <row r="1" ht="20.1" customHeight="1" s="51">
      <c r="A1" s="50" t="inlineStr">
        <is>
          <t>BẢNG ĐIỀU KHIỂN ĐẦU TƯ CHỨNG KHOÁN CHUYÊN NGHIỆP - AI CORE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I. TỔNG QUAN THỊ TRƯỜNG CHỨNG KHOÁN VIỆT NAM</t>
        </is>
      </c>
    </row>
    <row r="6" ht="24" customHeight="1" s="51">
      <c r="A6" s="3" t="inlineStr">
        <is>
          <t>Chỉ số</t>
        </is>
      </c>
      <c r="B6" s="3" t="inlineStr">
        <is>
          <t>Điểm số</t>
        </is>
      </c>
      <c r="C6" s="3" t="inlineStr">
        <is>
          <t>Thay đổi</t>
        </is>
      </c>
      <c r="D6" s="3" t="inlineStr">
        <is>
          <t>% Thay đổi</t>
        </is>
      </c>
      <c r="E6" s="3" t="inlineStr">
        <is>
          <t>Khối lượng</t>
        </is>
      </c>
      <c r="F6" s="3" t="inlineStr">
        <is>
          <t>Giá trị GD (Tỷ VND)</t>
        </is>
      </c>
      <c r="G6" s="3" t="inlineStr">
        <is>
          <t>Tăng / Giảm / Đứng</t>
        </is>
      </c>
    </row>
    <row r="7" ht="20.1" customHeight="1" s="51">
      <c r="A7" s="4" t="inlineStr">
        <is>
          <t>VN-INDEX</t>
        </is>
      </c>
      <c r="B7" s="5" t="n">
        <v>1867.21</v>
      </c>
      <c r="C7" s="6" t="n">
        <v>7.2</v>
      </c>
      <c r="D7" s="7" t="n">
        <v>0.0039</v>
      </c>
      <c r="E7" s="8" t="n">
        <v>854000000</v>
      </c>
      <c r="F7" s="8" t="n">
        <v>21540</v>
      </c>
      <c r="G7" s="9" t="inlineStr">
        <is>
          <t>245 Tăng / 120 Giảm / 75 Đứng</t>
        </is>
      </c>
    </row>
    <row r="8" ht="20.1" customHeight="1" s="51">
      <c r="A8" s="4" t="inlineStr">
        <is>
          <t>VN30</t>
        </is>
      </c>
      <c r="B8" s="5" t="n">
        <v>2013.35</v>
      </c>
      <c r="C8" s="6" t="n">
        <v>17.64</v>
      </c>
      <c r="D8" s="7" t="n">
        <v>0.008800000000000001</v>
      </c>
      <c r="E8" s="8" t="n">
        <v>210000000</v>
      </c>
      <c r="F8" s="8" t="n">
        <v>8920</v>
      </c>
      <c r="G8" s="9" t="inlineStr">
        <is>
          <t>20 Tăng / 8 Giảm / 2 Đứng</t>
        </is>
      </c>
    </row>
    <row r="9" ht="20.1" customHeight="1" s="51">
      <c r="A9" s="4" t="inlineStr">
        <is>
          <t>HNX-INDEX</t>
        </is>
      </c>
      <c r="B9" s="5" t="n">
        <v>313.16</v>
      </c>
      <c r="C9" s="10" t="n">
        <v>0</v>
      </c>
      <c r="D9" s="7" t="n">
        <v>0</v>
      </c>
      <c r="E9" s="8" t="n">
        <v>68000000</v>
      </c>
      <c r="F9" s="8" t="n">
        <v>1420</v>
      </c>
      <c r="G9" s="9" t="inlineStr">
        <is>
          <t>82 Tăng / 104 Giảm / 62 Đứng</t>
        </is>
      </c>
    </row>
    <row r="10" ht="20.1" customHeight="1" s="51">
      <c r="A10" s="4" t="inlineStr">
        <is>
          <t>UPCoM-INDEX</t>
        </is>
      </c>
      <c r="B10" s="5" t="n">
        <v>129.97</v>
      </c>
      <c r="C10" s="5" t="n">
        <v>-0.3</v>
      </c>
      <c r="D10" s="7" t="n">
        <v>-0.0023</v>
      </c>
      <c r="E10" s="8" t="n">
        <v>42000000</v>
      </c>
      <c r="F10" s="8" t="n">
        <v>680</v>
      </c>
      <c r="G10" s="9" t="inlineStr">
        <is>
          <t>115 Tăng / 92 Giảm / 88 Đứng</t>
        </is>
      </c>
    </row>
    <row r="11" ht="20.1" customHeight="1" s="51">
      <c r="A11" s="4" t="inlineStr">
        <is>
          <t>VN30F1M (Phái sinh)</t>
        </is>
      </c>
      <c r="B11" s="5" t="n">
        <v>2014</v>
      </c>
      <c r="C11" s="57" t="n">
        <v>16.4</v>
      </c>
      <c r="D11" s="7" t="n">
        <v>0.008199999999999999</v>
      </c>
      <c r="E11" s="8" t="n">
        <v>254000</v>
      </c>
      <c r="F11" s="8" t="n">
        <v>31750</v>
      </c>
      <c r="G11" s="9" t="inlineStr">
        <is>
          <t>OI: 62,450 Hợp đồng</t>
        </is>
      </c>
    </row>
    <row r="14" ht="24" customHeight="1" s="51">
      <c r="A14" s="2" t="inlineStr">
        <is>
          <t>II. CHỈ SỐ ĐÁNH GIÁ THỊ TRƯỜNG TỔNG HỢP (AI SCORES)</t>
        </is>
      </c>
    </row>
    <row r="15" ht="20.1" customHeight="1" s="51">
      <c r="A15" s="3" t="inlineStr">
        <is>
          <t>Chỉ số AI</t>
        </is>
      </c>
      <c r="B15" s="3" t="inlineStr">
        <is>
          <t>Điểm số (0-100)</t>
        </is>
      </c>
      <c r="C15" s="3" t="inlineStr">
        <is>
          <t>Mức độ rủi ro / Trạng thái</t>
        </is>
      </c>
      <c r="D15" s="3" t="inlineStr">
        <is>
          <t>Khuyến nghị hành động chính</t>
        </is>
      </c>
    </row>
    <row r="16" ht="20.1" customHeight="1" s="51">
      <c r="A16" s="4" t="inlineStr">
        <is>
          <t>Market Score (Điểm thị trường)</t>
        </is>
      </c>
      <c r="B16" s="11" t="n">
        <v>75</v>
      </c>
      <c r="C16" s="12" t="inlineStr">
        <is>
          <t>Tích cực (Dòng tiền khỏe)</t>
        </is>
      </c>
      <c r="D16" s="13" t="inlineStr">
        <is>
          <t>Duy trì tỷ trọng cổ phiếu cao, ưu tiên tích lũy ngắn hạn</t>
        </is>
      </c>
    </row>
    <row r="17" ht="20.1" customHeight="1" s="51">
      <c r="A17" s="4" t="inlineStr">
        <is>
          <t>Risk Score (Điểm rủi ro)</t>
        </is>
      </c>
      <c r="B17" s="11" t="n">
        <v>75</v>
      </c>
      <c r="C17" s="9" t="inlineStr">
        <is>
          <t>Cao</t>
        </is>
      </c>
      <c r="D17" s="13" t="inlineStr">
        <is>
          <t>Hạ tỷ trọng đòn bẩy (margin), phòng thủ danh mục</t>
        </is>
      </c>
    </row>
    <row r="18">
      <c r="A18" s="4" t="inlineStr">
        <is>
          <t>Opportunity Score (Điểm cơ hội)</t>
        </is>
      </c>
      <c r="B18" s="11" t="n">
        <v>34</v>
      </c>
      <c r="C18" s="12" t="inlineStr">
        <is>
          <t>Thấp</t>
        </is>
      </c>
      <c r="D18" s="13" t="inlineStr">
        <is>
          <t>Cơ hội giải ngân ít, nên kiên nhẫn quan sát điểm cân bằng</t>
        </is>
      </c>
    </row>
    <row r="20" ht="17.25" customHeight="1" s="51">
      <c r="A20" s="2" t="inlineStr">
        <is>
          <t>III. TÍN HIỆU PHÁI SINH &amp; DỰ BÁO LONG/SHORT (DERIVATIVES AI)</t>
        </is>
      </c>
    </row>
    <row r="21" ht="24" customHeight="1" s="51">
      <c r="A21" s="3" t="inlineStr">
        <is>
          <t>Hợp đồng phái sinh</t>
        </is>
      </c>
      <c r="B21" s="3" t="inlineStr">
        <is>
          <t>Giá hiện tại (Điểm)</t>
        </is>
      </c>
      <c r="C21" s="3" t="inlineStr">
        <is>
          <t>Độ lệch (Basis vs VN30)</t>
        </is>
      </c>
      <c r="D21" s="3" t="inlineStr">
        <is>
          <t>Khuyến nghị AI</t>
        </is>
      </c>
      <c r="E21" s="3" t="inlineStr">
        <is>
          <t>Xác suất thành công</t>
        </is>
      </c>
      <c r="F21" s="3" t="inlineStr">
        <is>
          <t>Vùng giá mục tiêu</t>
        </is>
      </c>
      <c r="G21" s="3" t="inlineStr">
        <is>
          <t>Ngưỡng cắt lỗ</t>
        </is>
      </c>
    </row>
    <row r="22" ht="20.1" customHeight="1" s="51">
      <c r="A22" s="4" t="inlineStr">
        <is>
          <t>VN30F1M</t>
        </is>
      </c>
      <c r="B22" s="5" t="n">
        <v>2014</v>
      </c>
      <c r="C22" s="40" t="n">
        <v>0.6500000000000909</v>
      </c>
      <c r="D22" s="41" t="inlineStr">
        <is>
          <t>LONG</t>
        </is>
      </c>
      <c r="E22" s="39" t="n">
        <v>0.8</v>
      </c>
      <c r="F22" s="9" t="inlineStr">
        <is>
          <t>2,024 - 2,029 điểm</t>
        </is>
      </c>
      <c r="G22" s="8" t="n">
        <v>2006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8" sqref="A18"/>
    </sheetView>
  </sheetViews>
  <sheetFormatPr baseColWidth="8" defaultRowHeight="15"/>
  <cols>
    <col width="15.85546875" customWidth="1" style="51" min="1" max="1"/>
    <col width="33.5703125" customWidth="1" style="51" min="2" max="2"/>
    <col width="16" customWidth="1" style="51" min="3" max="3"/>
    <col width="12" customWidth="1" style="51" min="4" max="4"/>
    <col width="17.5703125" bestFit="1" customWidth="1" style="51" min="5" max="5"/>
    <col width="19" customWidth="1" style="51" min="6" max="6"/>
    <col width="20.42578125" bestFit="1" customWidth="1" style="51" min="7" max="7"/>
    <col width="18" customWidth="1" style="51" min="8" max="9"/>
    <col width="15" customWidth="1" style="51" min="10" max="10"/>
  </cols>
  <sheetData>
    <row r="1" ht="20.1" customHeight="1" s="51">
      <c r="A1" s="50" t="inlineStr">
        <is>
          <t>DANH MỤC ĐẦU TƯ CỦA BẠN - QUẢN LÝ TÀI SẢN CHI TIẾT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BẢNG THEO DÕI HIỆU QUẢ ĐẦU TƯ CỔ PHIẾU</t>
        </is>
      </c>
    </row>
    <row r="6" ht="24" customHeight="1" s="51">
      <c r="A6" s="3" t="inlineStr">
        <is>
          <t>Mã CP</t>
        </is>
      </c>
      <c r="B6" s="3" t="inlineStr">
        <is>
          <t>Tên Doanh nghiệp</t>
        </is>
      </c>
      <c r="C6" s="3" t="inlineStr">
        <is>
          <t>Giá Mua (VND)</t>
        </is>
      </c>
      <c r="D6" s="3" t="inlineStr">
        <is>
          <t>Số lượng</t>
        </is>
      </c>
      <c r="E6" s="3" t="inlineStr">
        <is>
          <t>Giá hiện tại (VND)</t>
        </is>
      </c>
      <c r="F6" s="3" t="inlineStr">
        <is>
          <t>Giá Vốn (VND)</t>
        </is>
      </c>
      <c r="G6" s="3" t="inlineStr">
        <is>
          <t>Giá trị Hiện tại (VND)</t>
        </is>
      </c>
      <c r="H6" s="3" t="inlineStr">
        <is>
          <t>Lãi / Lỗ (VND)</t>
        </is>
      </c>
      <c r="I6" s="3" t="inlineStr">
        <is>
          <t>Tỷ suất sinh lời</t>
        </is>
      </c>
      <c r="J6" s="3" t="inlineStr">
        <is>
          <t>Tỷ trọng (%)</t>
        </is>
      </c>
    </row>
    <row r="7" ht="20.1" customHeight="1" s="51">
      <c r="A7" s="4" t="inlineStr">
        <is>
          <t>FPT</t>
        </is>
      </c>
      <c r="B7" s="13" t="inlineStr">
        <is>
          <t>CTCP FPT</t>
        </is>
      </c>
      <c r="C7" s="8" t="n">
        <v>80783</v>
      </c>
      <c r="D7" s="8" t="n">
        <v>4100</v>
      </c>
      <c r="E7" s="8" t="n">
        <v>73200</v>
      </c>
      <c r="F7" s="8">
        <f>C7*D7</f>
        <v/>
      </c>
      <c r="G7" s="8">
        <f>E7*D7</f>
        <v/>
      </c>
      <c r="H7" s="14">
        <f>G7-F7</f>
        <v/>
      </c>
      <c r="I7" s="15">
        <f>H7/F7</f>
        <v/>
      </c>
      <c r="J7" s="7">
        <f>G7/$G$11</f>
        <v/>
      </c>
    </row>
    <row r="8" ht="20.1" customHeight="1" s="51">
      <c r="A8" s="4" t="inlineStr">
        <is>
          <t>MBB</t>
        </is>
      </c>
      <c r="B8" s="13" t="inlineStr">
        <is>
          <t>CTCP Ngân hàng TMCP Quân đội</t>
        </is>
      </c>
      <c r="C8" s="8" t="n">
        <v>26211</v>
      </c>
      <c r="D8" s="8" t="n">
        <v>3800</v>
      </c>
      <c r="E8" s="8" t="n">
        <v>25750</v>
      </c>
      <c r="F8" s="8">
        <f>C8*D8</f>
        <v/>
      </c>
      <c r="G8" s="8">
        <f>E8*D8</f>
        <v/>
      </c>
      <c r="H8" s="14">
        <f>G8-F8</f>
        <v/>
      </c>
      <c r="I8" s="15">
        <f>H8/F8</f>
        <v/>
      </c>
      <c r="J8" s="7">
        <f>G8/$G$11</f>
        <v/>
      </c>
    </row>
    <row r="9" ht="20.1" customHeight="1" s="51">
      <c r="A9" s="4" t="inlineStr">
        <is>
          <t>MBS</t>
        </is>
      </c>
      <c r="B9" s="13" t="inlineStr">
        <is>
          <t>CTCP Chứng khoán MB</t>
        </is>
      </c>
      <c r="C9" s="8" t="n">
        <v>19600</v>
      </c>
      <c r="D9" s="8" t="n">
        <v>800</v>
      </c>
      <c r="E9" s="8" t="n">
        <v>22300</v>
      </c>
      <c r="F9" s="8">
        <f>C9*D9</f>
        <v/>
      </c>
      <c r="G9" s="8">
        <f>E9*D9</f>
        <v/>
      </c>
      <c r="H9" s="14">
        <f>G9-F9</f>
        <v/>
      </c>
      <c r="I9" s="15">
        <f>H9/F9</f>
        <v/>
      </c>
      <c r="J9" s="7">
        <f>G9/$G$11</f>
        <v/>
      </c>
    </row>
    <row r="10" ht="20.1" customHeight="1" s="51">
      <c r="A10" s="4" t="inlineStr">
        <is>
          <t>PHC</t>
        </is>
      </c>
      <c r="B10" s="13" t="inlineStr">
        <is>
          <t>CTCP Xây dựng Phục Hưng Holdings</t>
        </is>
      </c>
      <c r="C10" s="8" t="n">
        <v>5675</v>
      </c>
      <c r="D10" s="8" t="n">
        <v>79000</v>
      </c>
      <c r="E10" s="8" t="n">
        <v>4590</v>
      </c>
      <c r="F10" s="8">
        <f>C10*D10</f>
        <v/>
      </c>
      <c r="G10" s="8">
        <f>E10*D10</f>
        <v/>
      </c>
      <c r="H10" s="14">
        <f>G10-F10</f>
        <v/>
      </c>
      <c r="I10" s="15">
        <f>H10/F10</f>
        <v/>
      </c>
      <c r="J10" s="7">
        <f>G10/$G$11</f>
        <v/>
      </c>
    </row>
    <row r="11" ht="24" customHeight="1" s="51">
      <c r="A11" s="16" t="inlineStr">
        <is>
          <t>TỔNG CỘNG</t>
        </is>
      </c>
      <c r="B11" s="17" t="n"/>
      <c r="C11" s="17" t="n"/>
      <c r="D11" s="17" t="n"/>
      <c r="E11" s="17" t="n"/>
      <c r="F11" s="18">
        <f>SUM(F7:F10)</f>
        <v/>
      </c>
      <c r="G11" s="18">
        <f>SUM(G7:G10)</f>
        <v/>
      </c>
      <c r="H11" s="18">
        <f>SUM(H7:H10)</f>
        <v/>
      </c>
      <c r="I11" s="19">
        <f>H11/F11</f>
        <v/>
      </c>
      <c r="J11" s="20">
        <f>SUM(J7:J10)</f>
        <v/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J10" sqref="J10"/>
    </sheetView>
  </sheetViews>
  <sheetFormatPr baseColWidth="8" defaultRowHeight="15"/>
  <cols>
    <col width="38" customWidth="1" style="51" min="1" max="1"/>
    <col width="18" customWidth="1" style="51" min="2" max="5"/>
    <col width="11" customWidth="1" style="51" min="6" max="7"/>
  </cols>
  <sheetData>
    <row r="1" ht="20.1" customHeight="1" s="51">
      <c r="A1" s="50" t="inlineStr">
        <is>
          <t>SO SÁNH CÁC CHỈ TIÊU TÀI CHÍNH NGÀNH XÂY DỰNG &amp; BẤT ĐỘNG SẢN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PHÂN TÍCH SO SÁNH PHC VỚI CÁC ĐỐI THỦ CẠNH TRANH (Năm 2025/2026)</t>
        </is>
      </c>
    </row>
    <row r="6" ht="24" customHeight="1" s="51">
      <c r="A6" s="3" t="inlineStr">
        <is>
          <t>Mã chỉ tiêu / Tỉ số</t>
        </is>
      </c>
      <c r="B6" s="3" t="inlineStr">
        <is>
          <t>PHC (Phục Hưng)</t>
        </is>
      </c>
      <c r="C6" s="3" t="inlineStr">
        <is>
          <t>CTD (Coteccons)</t>
        </is>
      </c>
      <c r="D6" s="3" t="inlineStr">
        <is>
          <t>HBC (Hòa Bình)</t>
        </is>
      </c>
      <c r="E6" s="3" t="inlineStr">
        <is>
          <t>VCG (Vinaconex)</t>
        </is>
      </c>
    </row>
    <row r="7" ht="20.1" customHeight="1" s="51">
      <c r="A7" s="4" t="inlineStr">
        <is>
          <t>Doanh thu Thuần (Tỷ VND)</t>
        </is>
      </c>
      <c r="B7" s="8" t="n">
        <v>1850</v>
      </c>
      <c r="C7" s="8" t="n">
        <v>16200</v>
      </c>
      <c r="D7" s="8" t="n">
        <v>7500</v>
      </c>
      <c r="E7" s="8" t="n">
        <v>12800</v>
      </c>
    </row>
    <row r="8" ht="20.1" customHeight="1" s="51">
      <c r="A8" s="4" t="inlineStr">
        <is>
          <t>Lợi nhuận sau thuế (Tỷ VND)</t>
        </is>
      </c>
      <c r="B8" s="8" t="n">
        <v>24</v>
      </c>
      <c r="C8" s="8" t="n">
        <v>280</v>
      </c>
      <c r="D8" s="21" t="n">
        <v>-450</v>
      </c>
      <c r="E8" s="8" t="n">
        <v>320</v>
      </c>
    </row>
    <row r="9" ht="20.1" customHeight="1" s="51">
      <c r="A9" s="4" t="inlineStr">
        <is>
          <t>Biên Lợi nhuận Gộp (%)</t>
        </is>
      </c>
      <c r="B9" s="22" t="n">
        <v>0.052</v>
      </c>
      <c r="C9" s="22" t="n">
        <v>0.038</v>
      </c>
      <c r="D9" s="22" t="n">
        <v>0.012</v>
      </c>
      <c r="E9" s="22" t="n">
        <v>0.065</v>
      </c>
    </row>
    <row r="10" ht="20.1" customHeight="1" s="51">
      <c r="A10" s="23" t="inlineStr">
        <is>
          <t>Tỷ lệ Nợ vay / Vốn chủ sở hữu (D/E)</t>
        </is>
      </c>
      <c r="B10" s="24" t="n">
        <v>1.85</v>
      </c>
      <c r="C10" s="24" t="n">
        <v>1.15</v>
      </c>
      <c r="D10" s="24" t="n">
        <v>4.8</v>
      </c>
      <c r="E10" s="24" t="n">
        <v>2.1</v>
      </c>
    </row>
    <row r="11" ht="20.1" customHeight="1" s="51">
      <c r="A11" s="23" t="inlineStr">
        <is>
          <t>Tỷ lệ Phải thu / Doanh thu (Receivables/Rev)</t>
        </is>
      </c>
      <c r="B11" s="22" t="n">
        <v>0.65</v>
      </c>
      <c r="C11" s="22" t="n">
        <v>0.48</v>
      </c>
      <c r="D11" s="22" t="n">
        <v>0.85</v>
      </c>
      <c r="E11" s="22" t="n">
        <v>0.52</v>
      </c>
    </row>
    <row r="12" ht="20.1" customHeight="1" s="51">
      <c r="A12" s="23" t="inlineStr">
        <is>
          <t>Giá trị Backlog Hợp đồng (Tỷ VND)</t>
        </is>
      </c>
      <c r="B12" s="8" t="n">
        <v>4800</v>
      </c>
      <c r="C12" s="8" t="n">
        <v>24000</v>
      </c>
      <c r="D12" s="8" t="n">
        <v>9500</v>
      </c>
      <c r="E12" s="8" t="n">
        <v>18500</v>
      </c>
    </row>
    <row r="13" ht="20.1" customHeight="1" s="51">
      <c r="A13" s="4" t="inlineStr">
        <is>
          <t>ROE (%)</t>
        </is>
      </c>
      <c r="B13" s="22" t="n">
        <v>0.062</v>
      </c>
      <c r="C13" s="22" t="n">
        <v>0.075</v>
      </c>
      <c r="D13" s="25" t="n">
        <v>-0.42</v>
      </c>
      <c r="E13" s="22" t="n">
        <v>0.08799999999999999</v>
      </c>
    </row>
    <row r="14" ht="20.1" customHeight="1" s="51">
      <c r="A14" s="4" t="inlineStr">
        <is>
          <t>ROA (%)</t>
        </is>
      </c>
      <c r="B14" s="22" t="n">
        <v>0.015</v>
      </c>
      <c r="C14" s="22" t="n">
        <v>0.021</v>
      </c>
      <c r="D14" s="25" t="n">
        <v>-0.08500000000000001</v>
      </c>
      <c r="E14" s="22" t="n">
        <v>0.024</v>
      </c>
    </row>
    <row r="15" ht="20.1" customHeight="1" s="51">
      <c r="A15" s="4" t="inlineStr">
        <is>
          <t>Hệ số P/E</t>
        </is>
      </c>
      <c r="B15" s="24" t="n">
        <v>14.8</v>
      </c>
      <c r="C15" s="24" t="n">
        <v>18.2</v>
      </c>
      <c r="D15" s="26" t="n">
        <v>-3.5</v>
      </c>
      <c r="E15" s="24" t="n">
        <v>11.2</v>
      </c>
    </row>
    <row r="16" ht="20.1" customHeight="1" s="51">
      <c r="A16" s="4" t="inlineStr">
        <is>
          <t>Hệ số P/B</t>
        </is>
      </c>
      <c r="B16" s="24" t="n">
        <v>0.82</v>
      </c>
      <c r="C16" s="24" t="n">
        <v>1.25</v>
      </c>
      <c r="D16" s="24" t="n">
        <v>0.95</v>
      </c>
      <c r="E16" s="24" t="n">
        <v>1.05</v>
      </c>
    </row>
    <row r="17" ht="20.1" customHeight="1" s="51">
      <c r="A17" s="4" t="inlineStr">
        <is>
          <t>Vốn hóa thị trường (Tỷ VND)</t>
        </is>
      </c>
      <c r="B17" s="8" t="n">
        <v>280</v>
      </c>
      <c r="C17" s="8" t="n">
        <v>4850</v>
      </c>
      <c r="D17" s="8" t="n">
        <v>1120</v>
      </c>
      <c r="E17" s="8" t="n">
        <v>9600</v>
      </c>
    </row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H21" sqref="H21"/>
    </sheetView>
  </sheetViews>
  <sheetFormatPr baseColWidth="8" defaultRowHeight="15"/>
  <cols>
    <col width="26" customWidth="1" style="51" min="1" max="1"/>
    <col width="12" customWidth="1" style="51" min="2" max="3"/>
    <col width="13" customWidth="1" style="51" min="4" max="4"/>
    <col width="30" customWidth="1" style="51" min="5" max="5"/>
    <col width="11" customWidth="1" style="51" min="6" max="6"/>
    <col width="34" customWidth="1" style="51" min="7" max="7"/>
    <col width="17" customWidth="1" style="51" min="8" max="8"/>
    <col width="28" customWidth="1" style="51" min="9" max="9"/>
    <col width="35" customWidth="1" style="51" min="10" max="10"/>
  </cols>
  <sheetData>
    <row r="1" ht="20.1" customHeight="1" s="51">
      <c r="A1" s="50" t="inlineStr">
        <is>
          <t>THEO DÕI BIẾN ĐỘNG VĨ MÔ VÀ ĐỊA CHÍNH TRỊ TOÀN CẦU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A. CHỈ SỐ VĨ MÔ VIỆT NAM</t>
        </is>
      </c>
      <c r="G5" s="2" t="inlineStr">
        <is>
          <t>B. SCORE ĐỊA CHÍNH TRỊ TOÀN CẦU</t>
        </is>
      </c>
    </row>
    <row r="6" ht="24" customHeight="1" s="51">
      <c r="A6" s="3" t="inlineStr">
        <is>
          <t>Chỉ số vĩ mô</t>
        </is>
      </c>
      <c r="B6" s="3" t="inlineStr">
        <is>
          <t>Kỳ này</t>
        </is>
      </c>
      <c r="C6" s="3" t="inlineStr">
        <is>
          <t>Kỳ trước</t>
        </is>
      </c>
      <c r="D6" s="3" t="inlineStr">
        <is>
          <t>Thay đổi</t>
        </is>
      </c>
      <c r="E6" s="3" t="inlineStr">
        <is>
          <t>Nhận định AI</t>
        </is>
      </c>
      <c r="G6" s="3" t="inlineStr">
        <is>
          <t>Khu vực</t>
        </is>
      </c>
      <c r="H6" s="3" t="inlineStr">
        <is>
          <t>Rủi ro (0-100)</t>
        </is>
      </c>
      <c r="I6" s="3" t="inlineStr">
        <is>
          <t>Ảnh hưởng VNINDEX (0-100)</t>
        </is>
      </c>
      <c r="J6" s="3" t="inlineStr">
        <is>
          <t>Điểm nóng chính</t>
        </is>
      </c>
    </row>
    <row r="7" ht="20.1" customHeight="1" s="51">
      <c r="A7" s="4" t="inlineStr">
        <is>
          <t>CPI (Lạm phát yoy)</t>
        </is>
      </c>
      <c r="B7" s="22" t="n">
        <v>0.038</v>
      </c>
      <c r="C7" s="22" t="n">
        <v>0.041</v>
      </c>
      <c r="D7" s="27" t="n">
        <v>-0.003</v>
      </c>
      <c r="E7" s="12" t="inlineStr">
        <is>
          <t>Tích cực (Kiểm soát tốt)</t>
        </is>
      </c>
      <c r="G7" s="4" t="inlineStr">
        <is>
          <t>Mỹ</t>
        </is>
      </c>
      <c r="H7" s="28" t="n">
        <v>46</v>
      </c>
      <c r="I7" s="28" t="n">
        <v>80</v>
      </c>
      <c r="J7" s="13" t="inlineStr">
        <is>
          <t>Lãi suất Fed &amp; Chính sách thuế quan</t>
        </is>
      </c>
    </row>
    <row r="8" ht="20.1" customHeight="1" s="51">
      <c r="A8" s="4" t="inlineStr">
        <is>
          <t>GDP Tăng trưởng (yoy)</t>
        </is>
      </c>
      <c r="B8" s="22" t="n">
        <v>0.064</v>
      </c>
      <c r="C8" s="22" t="n">
        <v>0.058</v>
      </c>
      <c r="D8" s="27" t="n">
        <v>0.006</v>
      </c>
      <c r="E8" s="12" t="inlineStr">
        <is>
          <t>Tích cực (Tăng trưởng cao)</t>
        </is>
      </c>
      <c r="G8" s="4" t="inlineStr">
        <is>
          <t>Trung Quốc</t>
        </is>
      </c>
      <c r="H8" s="28" t="n">
        <v>50</v>
      </c>
      <c r="I8" s="28" t="n">
        <v>75</v>
      </c>
      <c r="J8" s="13" t="inlineStr">
        <is>
          <t>Chiến tranh thương mại Mỹ - Trung</t>
        </is>
      </c>
    </row>
    <row r="9" ht="20.1" customHeight="1" s="51">
      <c r="A9" s="4" t="inlineStr">
        <is>
          <t>Lãi suất tái cấp vốn</t>
        </is>
      </c>
      <c r="B9" s="22" t="n">
        <v>0.045</v>
      </c>
      <c r="C9" s="22" t="n">
        <v>0.045</v>
      </c>
      <c r="D9" s="27" t="n">
        <v>0</v>
      </c>
      <c r="E9" s="29" t="inlineStr">
        <is>
          <t>Trung lập (Ổn định)</t>
        </is>
      </c>
      <c r="G9" s="4" t="inlineStr">
        <is>
          <t>Nga / Ukraine</t>
        </is>
      </c>
      <c r="H9" s="30" t="n">
        <v>85</v>
      </c>
      <c r="I9" s="28" t="n">
        <v>40</v>
      </c>
      <c r="J9" s="13" t="inlineStr">
        <is>
          <t>Giá năng lượng &amp; Đứt gãy chuỗi cung ứng</t>
        </is>
      </c>
    </row>
    <row r="10" ht="20.1" customHeight="1" s="51">
      <c r="A10" s="4" t="inlineStr">
        <is>
          <t>Tỷ giá USD/VND</t>
        </is>
      </c>
      <c r="B10" s="8" t="n">
        <v>25450</v>
      </c>
      <c r="C10" s="8" t="n">
        <v>25280</v>
      </c>
      <c r="D10" s="27" t="n">
        <v>0.0067</v>
      </c>
      <c r="E10" s="31" t="inlineStr">
        <is>
          <t>Tiêu cực (Áp lực tỷ giá cao)</t>
        </is>
      </c>
      <c r="G10" s="4" t="inlineStr">
        <is>
          <t>EU</t>
        </is>
      </c>
      <c r="H10" s="28" t="n">
        <v>35</v>
      </c>
      <c r="I10" s="28" t="n">
        <v>50</v>
      </c>
      <c r="J10" s="13" t="inlineStr">
        <is>
          <t>Lạm phát và tăng trưởng kinh tế chậm</t>
        </is>
      </c>
    </row>
    <row r="11" ht="20.1" customHeight="1" s="51">
      <c r="A11" s="4" t="inlineStr">
        <is>
          <t>FDI Thực hiện (Tỷ USD)</t>
        </is>
      </c>
      <c r="B11" s="32" t="n">
        <v>8.5</v>
      </c>
      <c r="C11" s="32" t="n">
        <v>7.8</v>
      </c>
      <c r="D11" s="27" t="n">
        <v>0.0897</v>
      </c>
      <c r="E11" s="12" t="inlineStr">
        <is>
          <t>Tích cực (Thu hút tốt)</t>
        </is>
      </c>
      <c r="G11" s="4" t="inlineStr">
        <is>
          <t>Nhật Bản</t>
        </is>
      </c>
      <c r="H11" s="28" t="n">
        <v>25</v>
      </c>
      <c r="I11" s="28" t="n">
        <v>35</v>
      </c>
      <c r="J11" s="13" t="inlineStr">
        <is>
          <t>Tỷ giá đồng Yên &amp; Lãi suất BOJ</t>
        </is>
      </c>
    </row>
    <row r="12" ht="20.1" customHeight="1" s="51">
      <c r="A12" s="4" t="inlineStr">
        <is>
          <t>Giải ngân Đầu tư công (%)</t>
        </is>
      </c>
      <c r="B12" s="22" t="n">
        <v>0.38</v>
      </c>
      <c r="C12" s="22" t="n">
        <v>0.32</v>
      </c>
      <c r="D12" s="27" t="n">
        <v>0.06</v>
      </c>
      <c r="E12" s="12" t="inlineStr">
        <is>
          <t>Tích cực (Đẩy nhanh tiến độ)</t>
        </is>
      </c>
    </row>
    <row r="13" ht="20.1" customHeight="1" s="51">
      <c r="A13" s="4" t="inlineStr">
        <is>
          <t>Tín dụng tăng trưởng (%)</t>
        </is>
      </c>
      <c r="B13" s="22" t="n">
        <v>0.052</v>
      </c>
      <c r="C13" s="22" t="n">
        <v>0.045</v>
      </c>
      <c r="D13" s="27" t="n">
        <v>0.007</v>
      </c>
      <c r="E13" s="29" t="inlineStr">
        <is>
          <t>Trung lập (Hấp thụ bình thường)</t>
        </is>
      </c>
    </row>
  </sheetData>
  <mergeCells count="1">
    <mergeCell ref="A1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E12" sqref="E12"/>
    </sheetView>
  </sheetViews>
  <sheetFormatPr baseColWidth="8" defaultRowHeight="15"/>
  <cols>
    <col width="28" customWidth="1" style="51" min="1" max="1"/>
    <col width="20" customWidth="1" style="51" min="2" max="2"/>
    <col width="24" customWidth="1" style="51" min="3" max="3"/>
    <col width="20" customWidth="1" style="51" min="4" max="4"/>
    <col width="22" customWidth="1" style="51" min="5" max="5"/>
    <col width="20" customWidth="1" style="51" min="6" max="6"/>
    <col width="28" customWidth="1" style="51" min="7" max="7"/>
  </cols>
  <sheetData>
    <row r="1" ht="20.1" customHeight="1" s="51">
      <c r="A1" s="50" t="inlineStr">
        <is>
          <t>MÔ HÌNH PHÂN BỔ VÀ TÁI CƠ CẤU TÀI SẢN CÁ NHÂN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BẢNG ĐỀ XUẤT TÁI PHÂN BỔ VỐN THEO RỦI RO THỊ TRƯỜNG</t>
        </is>
      </c>
    </row>
    <row r="7">
      <c r="A7" t="inlineStr">
        <is>
          <t>Tổng Tài Sản Hiện Có:</t>
        </is>
      </c>
      <c r="B7" s="33" t="n">
        <v>10000000000</v>
      </c>
      <c r="D7" t="inlineStr">
        <is>
          <t>AI Market Score:</t>
        </is>
      </c>
      <c r="E7" s="34">
        <f>'Dashboard Tong Quan'!B15</f>
        <v/>
      </c>
    </row>
    <row r="8">
      <c r="A8" t="inlineStr">
        <is>
          <t>Mức độ rủi ro lựa chọn:</t>
        </is>
      </c>
      <c r="B8" s="34" t="inlineStr">
        <is>
          <t>Cân bằng</t>
        </is>
      </c>
      <c r="D8" t="inlineStr">
        <is>
          <t>AI Risk Score:</t>
        </is>
      </c>
      <c r="E8" s="34">
        <f>'Dashboard Tong Quan'!B16</f>
        <v/>
      </c>
    </row>
    <row r="11">
      <c r="A11" s="3" t="inlineStr">
        <is>
          <t>Lớp tài sản</t>
        </is>
      </c>
      <c r="B11" s="3" t="inlineStr">
        <is>
          <t>Tỷ trọng đề xuất</t>
        </is>
      </c>
      <c r="C11" s="3" t="inlineStr">
        <is>
          <t>Số tiền đề xuất (VND)</t>
        </is>
      </c>
      <c r="D11" s="3" t="inlineStr">
        <is>
          <t>Tỷ trọng thực tế</t>
        </is>
      </c>
      <c r="E11" s="3" t="inlineStr">
        <is>
          <t>Số tiền thực tế (VND)</t>
        </is>
      </c>
      <c r="F11" s="3" t="inlineStr">
        <is>
          <t>Chênh lệch số tiền</t>
        </is>
      </c>
      <c r="G11" s="3" t="inlineStr">
        <is>
          <t>Hành động khuyến nghị</t>
        </is>
      </c>
    </row>
    <row r="12" ht="20.1" customHeight="1" s="51">
      <c r="A12" s="4" t="inlineStr">
        <is>
          <t>Cổ phiếu (Stocks)</t>
        </is>
      </c>
      <c r="B12" s="22" t="n">
        <v>0.45</v>
      </c>
      <c r="C12" s="8">
        <f>B12*$B$7</f>
        <v/>
      </c>
      <c r="D12" s="22">
        <f>E12/$B$7</f>
        <v/>
      </c>
      <c r="E12" s="8">
        <f>'Theo Doi Danh Muc'!G11</f>
        <v/>
      </c>
      <c r="F12" s="35">
        <f>E12-C12</f>
        <v/>
      </c>
      <c r="G12" s="36">
        <f>IF(F12&gt;50000000, "Bán bớt hạ tỷ trọng", IF(F12&lt;-50000000, "Mua thêm tích lũy", "Đã tối ưu"))</f>
        <v/>
      </c>
    </row>
    <row r="13" ht="20.1" customHeight="1" s="51">
      <c r="A13" s="4" t="inlineStr">
        <is>
          <t>Tiền gửi tiết kiệm (Cash)</t>
        </is>
      </c>
      <c r="B13" s="22" t="n">
        <v>0.25</v>
      </c>
      <c r="C13" s="8">
        <f>B13*$B$7</f>
        <v/>
      </c>
      <c r="D13" s="22">
        <f>E13/$B$7</f>
        <v/>
      </c>
      <c r="E13" s="8" t="n">
        <v>0</v>
      </c>
      <c r="F13" s="35">
        <f>E13-C13</f>
        <v/>
      </c>
      <c r="G13" s="36">
        <f>IF(F13&gt;50000000, "Bán bớt hạ tỷ trọng", IF(F13&lt;-50000000, "Mua thêm tích lũy", "Đã tối ưu"))</f>
        <v/>
      </c>
    </row>
    <row r="14" ht="20.1" customHeight="1" s="51">
      <c r="A14" s="4" t="inlineStr">
        <is>
          <t>Vàng (Gold)</t>
        </is>
      </c>
      <c r="B14" s="22" t="n">
        <v>0.1</v>
      </c>
      <c r="C14" s="8">
        <f>B14*$B$7</f>
        <v/>
      </c>
      <c r="D14" s="22">
        <f>E14/$B$7</f>
        <v/>
      </c>
      <c r="E14" s="8" t="n">
        <v>0</v>
      </c>
      <c r="F14" s="35">
        <f>E14-C14</f>
        <v/>
      </c>
      <c r="G14" s="36">
        <f>IF(F14&gt;50000000, "Bán bớt hạ tỷ trọng", IF(F14&lt;-50000000, "Mua thêm tích lũy", "Đã tối ưu"))</f>
        <v/>
      </c>
    </row>
    <row r="15" ht="20.1" customHeight="1" s="51">
      <c r="A15" s="4" t="inlineStr">
        <is>
          <t>Bất động sản (Real Estate)</t>
        </is>
      </c>
      <c r="B15" s="22" t="n">
        <v>0.2</v>
      </c>
      <c r="C15" s="8">
        <f>B15*$B$7</f>
        <v/>
      </c>
      <c r="D15" s="22">
        <f>E15/$B$7</f>
        <v/>
      </c>
      <c r="E15" s="8" t="n">
        <v>0</v>
      </c>
      <c r="F15" s="35">
        <f>E15-C15</f>
        <v/>
      </c>
      <c r="G15" s="36">
        <f>IF(F15&gt;50000000, "Bán bớt hạ tỷ trọng", IF(F15&lt;-50000000, "Mua thêm tích lũy", "Đã tối ưu"))</f>
        <v/>
      </c>
    </row>
    <row r="16" ht="21.95" customHeight="1" s="51">
      <c r="A16" s="16" t="inlineStr">
        <is>
          <t>TỔNG CỘNG</t>
        </is>
      </c>
      <c r="B16" s="37">
        <f>SUM(B12:B15)</f>
        <v/>
      </c>
      <c r="C16" s="18">
        <f>SUM(C12:C15)</f>
        <v/>
      </c>
      <c r="D16" s="37">
        <f>SUM(D12:D15)</f>
        <v/>
      </c>
      <c r="E16" s="18">
        <f>SUM(E12:E15)</f>
        <v/>
      </c>
      <c r="F16" s="18">
        <f>SUM(F12:F15)</f>
        <v/>
      </c>
      <c r="G16" s="38" t="inlineStr">
        <is>
          <t>—</t>
        </is>
      </c>
    </row>
  </sheetData>
  <mergeCells count="1">
    <mergeCell ref="A1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5" sqref="A5:K11"/>
    </sheetView>
  </sheetViews>
  <sheetFormatPr baseColWidth="8" defaultRowHeight="15"/>
  <cols>
    <col width="14" customWidth="1" style="51" min="1" max="1"/>
    <col width="20" bestFit="1" customWidth="1" style="51" min="2" max="2"/>
    <col width="20" customWidth="1" style="51" min="3" max="3"/>
    <col width="19" customWidth="1" style="51" min="4" max="4"/>
    <col width="43.140625" bestFit="1" customWidth="1" style="51" min="5" max="5"/>
    <col width="11" customWidth="1" style="51" min="6" max="6"/>
    <col width="14.5703125" customWidth="1" style="51" min="7" max="7"/>
    <col width="18" customWidth="1" style="51" min="8" max="8"/>
    <col width="11.7109375" customWidth="1" style="51" min="9" max="9"/>
    <col width="22" customWidth="1" style="51" min="10" max="10"/>
    <col width="70.7109375" bestFit="1" customWidth="1" style="51" min="11" max="11"/>
  </cols>
  <sheetData>
    <row r="1" ht="20.1" customHeight="1" s="51">
      <c r="A1" s="50" t="inlineStr">
        <is>
          <t>DÒNG TIỀN THỊ TRƯỜNG VÀ DỰ BÁO XU HƯỚNG CỦA AI</t>
        </is>
      </c>
    </row>
    <row r="2" ht="20.1" customHeight="1" s="51"/>
    <row r="3" ht="15.95" customHeight="1" s="51">
      <c r="A3" s="1" t="inlineStr">
        <is>
          <t>Thông tin chỉ mang tính tham khảo, không phải khuyến nghị đầu tư bắt buộc.</t>
        </is>
      </c>
    </row>
    <row r="5" ht="17.25" customHeight="1" s="51">
      <c r="A5" s="2" t="inlineStr">
        <is>
          <t>A. THEO DÕI DÒNG TIỀN THỊ TRƯỜNG HÀNG NGÀY (Tỷ VND)</t>
        </is>
      </c>
      <c r="G5" s="2" t="inlineStr">
        <is>
          <t>B. AI DỰ BÁO XU HƯỚNG VNINDEX NGÀY MAI</t>
        </is>
      </c>
    </row>
    <row r="6">
      <c r="A6" s="3" t="inlineStr">
        <is>
          <t>Ngày GD</t>
        </is>
      </c>
      <c r="B6" s="3" t="inlineStr">
        <is>
          <t>Khối ngoại mua ròng</t>
        </is>
      </c>
      <c r="C6" s="3" t="inlineStr">
        <is>
          <t>Tự doanh mua ròng</t>
        </is>
      </c>
      <c r="D6" s="3" t="inlineStr">
        <is>
          <t>Cá nhân mua ròng</t>
        </is>
      </c>
      <c r="E6" s="3" t="inlineStr">
        <is>
          <t>Dòng tiền Lớn (Smart Money)</t>
        </is>
      </c>
      <c r="G6" s="3" t="inlineStr">
        <is>
          <t>Ngày dự báo</t>
        </is>
      </c>
      <c r="H6" s="3" t="inlineStr">
        <is>
          <t>Dự báo Xu hướng</t>
        </is>
      </c>
      <c r="I6" s="3" t="inlineStr">
        <is>
          <t>Xác suất (%)</t>
        </is>
      </c>
      <c r="J6" s="3" t="inlineStr">
        <is>
          <t>Biên độ điểm dự đoán</t>
        </is>
      </c>
      <c r="K6" s="3" t="inlineStr">
        <is>
          <t>Cảnh báo rủi ro chính</t>
        </is>
      </c>
    </row>
    <row r="7" ht="20.1" customHeight="1" s="51">
      <c r="A7" s="42" t="inlineStr">
        <is>
          <t>01/07/2026</t>
        </is>
      </c>
      <c r="B7" s="52" t="n">
        <v>-166.8</v>
      </c>
      <c r="C7" s="53" t="n">
        <v>90.59999999999999</v>
      </c>
      <c r="D7" s="53" t="n">
        <v>69.3</v>
      </c>
      <c r="E7" s="45" t="inlineStr">
        <is>
          <t>Lực cầu chủ động từ dòng tiền lớn gia tăng tại các nhóm ngành dẫn dắt dòng tiền.</t>
        </is>
      </c>
      <c r="G7" s="9" t="inlineStr">
        <is>
          <t>2026-07-02</t>
        </is>
      </c>
      <c r="H7" s="54" t="inlineStr">
        <is>
          <t>Tăng nhẹ</t>
        </is>
      </c>
      <c r="I7" s="39" t="n">
        <v>0.75</v>
      </c>
      <c r="J7" s="9" t="inlineStr">
        <is>
          <t>1,860 - 1,885 điểm</t>
        </is>
      </c>
      <c r="K7" s="13" t="inlineStr">
        <is>
          <t>Kỹ thuật: VN-Index tích lũy chặt chẽ quanh 1,867.22 (hỗ trợ cứng 1,850 - 1,860, kháng cự mạnh 1,880 - 1,900) với lực cầu tốt. Tác động ngoại: S&amp;P 500 ở mức 7,467.44 điểm, tâm lý dòng tiền nội thận trọng theo dõi báo cáo lao động Mỹ ngày 02/07. Vĩ mô VN: Mùa BCTC Q2 và bán niên khởi động tạo sự phân hóa; dòng tiền nội ưu tiên các cổ phiếu đầu ngành như FPT, MBB, SSI.</t>
        </is>
      </c>
    </row>
    <row r="8" ht="20.1" customHeight="1" s="51">
      <c r="A8" s="42" t="inlineStr">
        <is>
          <t>30/06/2026</t>
        </is>
      </c>
      <c r="B8" s="52" t="n">
        <v>-152.2</v>
      </c>
      <c r="C8" s="53" t="n">
        <v>65</v>
      </c>
      <c r="D8" s="53" t="n">
        <v>79.2</v>
      </c>
      <c r="E8" s="45" t="inlineStr">
        <is>
          <t>Dòng tiền lớn tiếp tục mua ròng nhóm Công nghệ và Ngân hàng hỗ trợ thị trường nâng đỡ chỉ số.</t>
        </is>
      </c>
      <c r="G8" s="9" t="inlineStr">
        <is>
          <t>2026-07-03</t>
        </is>
      </c>
      <c r="H8" s="54" t="inlineStr">
        <is>
          <t>Tăng nhẹ</t>
        </is>
      </c>
      <c r="I8" s="39" t="n">
        <v>0.71</v>
      </c>
      <c r="J8" s="9" t="inlineStr">
        <is>
          <t>1,865 - 1,890 điểm</t>
        </is>
      </c>
      <c r="K8" s="13" t="inlineStr">
        <is>
          <t>Kỹ thuật: Chỉ số thử thách kháng cự 1,880 - 1,900 điểm, đòi hỏi thanh khoản cải thiện và lực mua lan rộng ngoài nhóm trụ. Tác động ngoại: Áp lực tỷ giá USD/VND (25,450 VND) kích hoạt tâm lý phòng thủ ngắn hạn của khối ngoại. Vĩ mô VN: Tiến trình nâng hạng thị trường lên mới nổi FTSE tiếp tục là động lực trung hạn thu hút sự chú ý của dòng vốn FII.</t>
        </is>
      </c>
    </row>
    <row r="9" ht="20.1" customHeight="1" s="51">
      <c r="A9" s="42" t="inlineStr">
        <is>
          <t>01/07/2026</t>
        </is>
      </c>
      <c r="B9" s="52" t="n">
        <v>-166.8</v>
      </c>
      <c r="C9" s="53" t="n">
        <v>90.59999999999999</v>
      </c>
      <c r="D9" s="53" t="n">
        <v>69.3</v>
      </c>
      <c r="E9" s="45" t="inlineStr">
        <is>
          <t>Lực cầu chủ động từ dòng tiền lớn gia tăng tại các nhóm ngành dẫn dắt dòng tiền.</t>
        </is>
      </c>
      <c r="G9" s="9" t="inlineStr">
        <is>
          <t>2026-07-06</t>
        </is>
      </c>
      <c r="H9" s="55" t="inlineStr">
        <is>
          <t>Đi ngang</t>
        </is>
      </c>
      <c r="I9" s="39" t="n">
        <v>0.67</v>
      </c>
      <c r="J9" s="9" t="inlineStr">
        <is>
          <t>1,866 - 1,889 điểm</t>
        </is>
      </c>
      <c r="K9" s="13" t="inlineStr">
        <is>
          <t>Kỹ thuật: Hỗ trợ gần 1,850 - 1,860 điểm được củng cố tốt nhờ lực cầu nội chủ động đỡ giá ở các nhịp rung lắc kỹ thuật. Tác động ngoại: Theo dõi sát sao chỉ số CPI Mỹ ngày 14/07 và PPI ngày 15/07 để đánh giá áp lực lên tỷ giá trong nước. Vĩ mô VN: Kỳ vọng giải ngân vốn đầu tư công tăng tốc và gỡ vướng pháp lý BĐS là điểm tựa vững chắc cho tâm lý thị trường.</t>
        </is>
      </c>
    </row>
    <row r="10" ht="20.1" customHeight="1" s="51">
      <c r="A10" s="42" t="inlineStr">
        <is>
          <t>30/06/2026</t>
        </is>
      </c>
      <c r="B10" s="52" t="n">
        <v>-155.8</v>
      </c>
      <c r="C10" s="53" t="n">
        <v>100.1</v>
      </c>
      <c r="D10" s="53" t="n">
        <v>64.3</v>
      </c>
      <c r="E10" s="45" t="inlineStr">
        <is>
          <t>Lực cầu chủ động từ dòng tiền lớn gia tăng tại các nhóm ngành dẫn dắt dòng tiền.</t>
        </is>
      </c>
      <c r="G10" s="9" t="inlineStr">
        <is>
          <t>2026-07-07</t>
        </is>
      </c>
      <c r="H10" s="56" t="inlineStr">
        <is>
          <t>Giảm nhẹ</t>
        </is>
      </c>
      <c r="I10" s="39" t="n">
        <v>0.63</v>
      </c>
      <c r="J10" s="9" t="inlineStr">
        <is>
          <t>1,860 - 1,884 điểm</t>
        </is>
      </c>
      <c r="K10" s="13" t="inlineStr">
        <is>
          <t>Kỹ thuật: VN-Index thử thách đường SMA50 trung hạn, thanh khoản cạn kiệt mở ra cơ hội tích lũy cổ phiếu giá trị giá tốt. Tác động ngoại: Bối cảnh tài chính quốc tế ổn định giúp giảm thiểu đáng kể rủi ro biến động liên thông đối với thị trường cơ sở. Vĩ mô VN: CPI được kiểm soát tốt và GDP tăng trưởng vững chắc giúp SBV giữ vững lập trường chính sách tiền tệ nới lỏng linh hoạt.</t>
        </is>
      </c>
    </row>
    <row r="11" ht="20.1" customHeight="1" s="51">
      <c r="A11" s="42" t="inlineStr">
        <is>
          <t>29/06/2026</t>
        </is>
      </c>
      <c r="B11" s="52" t="n">
        <v>-446.4</v>
      </c>
      <c r="C11" s="53" t="n">
        <v>1.1</v>
      </c>
      <c r="D11" s="53" t="n">
        <v>437.5</v>
      </c>
      <c r="E11" s="45" t="inlineStr">
        <is>
          <t>Khối ngoại bán ròng mạnh gây áp lực tâm lý chốt lời lên toàn bộ thị trường.</t>
        </is>
      </c>
      <c r="G11" s="9" t="inlineStr">
        <is>
          <t>2026-07-08</t>
        </is>
      </c>
      <c r="H11" s="54" t="inlineStr">
        <is>
          <t>Tăng nhẹ</t>
        </is>
      </c>
      <c r="I11" s="39" t="n">
        <v>0.59</v>
      </c>
      <c r="J11" s="9" t="inlineStr">
        <is>
          <t>1,865 - 1,890 điểm</t>
        </is>
      </c>
      <c r="K11" s="13" t="inlineStr">
        <is>
          <t>Kỹ thuật: Cơ hội bứt phá biên tích lũy để hướng tới kiểm định đỉnh lịch sử cũ 1,936.55 điểm khi lực cầu cải thiện rõ rệt. Tác động ngoại: Tâm lý thận trọng bao trùm trước thềm cuộc họp Fed ngày 29/07 và công bố PCE ngày 30/07. Vĩ mô VN: Kết quả tăng trưởng lợi nhuận ấn tượng của các nhóm ngành trụ cột sẽ là động cơ chính dẫn dắt chỉ số đi lên.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2026-06-13T16:54:14Z</dcterms:created>
  <dcterms:modified xmlns:dcterms="http://purl.org/dc/terms/" xmlns:xsi="http://www.w3.org/2001/XMLSchema-instance" xsi:type="dcterms:W3CDTF">2026-07-07T12:20:01Z</dcterms:modified>
  <cp:lastModifiedBy>Tieu Ban Kiem toan</cp:lastModifiedBy>
</cp:coreProperties>
</file>